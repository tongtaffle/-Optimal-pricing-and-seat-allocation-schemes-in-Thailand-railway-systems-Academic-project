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u) work\ปี4\เทอม 2\Senior project\ข้อมูล\"/>
    </mc:Choice>
  </mc:AlternateContent>
  <xr:revisionPtr revIDLastSave="0" documentId="13_ncr:1_{630E67A4-4A4B-4D10-8996-55C85A6259AC}" xr6:coauthVersionLast="47" xr6:coauthVersionMax="47" xr10:uidLastSave="{00000000-0000-0000-0000-000000000000}"/>
  <bookViews>
    <workbookView xWindow="-108" yWindow="-108" windowWidth="23256" windowHeight="12576" activeTab="1" xr2:uid="{8A3419F2-5173-4D2C-9746-87AFF8892B10}"/>
  </bookViews>
  <sheets>
    <sheet name="ขบวนรถไฟทุกสาย" sheetId="1" r:id="rId1"/>
    <sheet name="ข้อมูลราคา" sheetId="2" r:id="rId2"/>
    <sheet name="ข้อมูลด้าน lambda" sheetId="14" r:id="rId3"/>
    <sheet name="เวลาในการจอด 303" sheetId="3" r:id="rId4"/>
    <sheet name="เวลาในการจอด 339" sheetId="4" r:id="rId5"/>
    <sheet name="เวลาในการจอด 201" sheetId="5" r:id="rId6"/>
    <sheet name="เวลาในการจอด 209" sheetId="6" r:id="rId7"/>
    <sheet name="เวลาในการจอด 233" sheetId="7" r:id="rId8"/>
    <sheet name="เวลาในการจอด 211" sheetId="8" r:id="rId9"/>
    <sheet name="เวลาในการจอด 207" sheetId="9" r:id="rId10"/>
    <sheet name="เวลาในการจอด 301" sheetId="10" r:id="rId11"/>
    <sheet name="เวลาในการจอด 341" sheetId="11" r:id="rId12"/>
    <sheet name="เวลาในการจอด 317" sheetId="12" r:id="rId13"/>
    <sheet name="เวลาในการจอด 313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9" l="1"/>
  <c r="B3" i="8"/>
  <c r="B3" i="7"/>
  <c r="B3" i="6"/>
  <c r="B3" i="5"/>
  <c r="B3" i="4"/>
  <c r="B3" i="3"/>
  <c r="F100" i="2"/>
  <c r="F99" i="2"/>
  <c r="F93" i="2"/>
  <c r="F92" i="2"/>
  <c r="F120" i="2"/>
  <c r="F118" i="2"/>
  <c r="F114" i="2"/>
  <c r="F115" i="2"/>
  <c r="F110" i="2"/>
  <c r="F111" i="2"/>
  <c r="F105" i="2"/>
  <c r="F106" i="2"/>
  <c r="D93" i="2"/>
  <c r="F84" i="2"/>
  <c r="F85" i="2"/>
  <c r="F73" i="2"/>
  <c r="F74" i="2"/>
  <c r="F75" i="2"/>
  <c r="F76" i="2"/>
  <c r="F59" i="2"/>
  <c r="F60" i="2"/>
  <c r="F61" i="2"/>
  <c r="F62" i="2"/>
  <c r="F63" i="2"/>
  <c r="F64" i="2"/>
  <c r="F65" i="2"/>
  <c r="F66" i="2"/>
  <c r="F48" i="2"/>
  <c r="F49" i="2"/>
  <c r="F50" i="2"/>
  <c r="F51" i="2"/>
  <c r="F52" i="2"/>
  <c r="F53" i="2"/>
  <c r="F54" i="2"/>
  <c r="F55" i="2"/>
  <c r="F35" i="2"/>
  <c r="F36" i="2"/>
  <c r="F37" i="2"/>
  <c r="F38" i="2"/>
  <c r="F39" i="2"/>
  <c r="F40" i="2"/>
  <c r="F41" i="2"/>
  <c r="F42" i="2"/>
  <c r="F43" i="2"/>
  <c r="F22" i="2"/>
  <c r="F23" i="2"/>
  <c r="F24" i="2"/>
  <c r="F25" i="2"/>
  <c r="F26" i="2"/>
  <c r="F27" i="2"/>
  <c r="F28" i="2"/>
  <c r="F29" i="2"/>
  <c r="F30" i="2"/>
  <c r="F7" i="2"/>
  <c r="F8" i="2"/>
  <c r="F9" i="2"/>
  <c r="F10" i="2"/>
  <c r="F11" i="2"/>
  <c r="F12" i="2"/>
  <c r="F13" i="2"/>
  <c r="F14" i="2"/>
  <c r="F15" i="2"/>
  <c r="F16" i="2"/>
  <c r="D45" i="2"/>
  <c r="D6" i="2"/>
  <c r="D7" i="2"/>
  <c r="D8" i="2"/>
  <c r="D9" i="2"/>
  <c r="D10" i="2"/>
  <c r="D11" i="2"/>
  <c r="D12" i="2"/>
  <c r="D13" i="2"/>
  <c r="D14" i="2"/>
  <c r="D15" i="2"/>
  <c r="D16" i="2"/>
  <c r="D20" i="2"/>
  <c r="D21" i="2"/>
  <c r="D22" i="2"/>
  <c r="D23" i="2"/>
  <c r="D24" i="2"/>
  <c r="D25" i="2"/>
  <c r="D26" i="2"/>
  <c r="D27" i="2"/>
  <c r="D28" i="2"/>
  <c r="D29" i="2"/>
  <c r="D30" i="2"/>
  <c r="D33" i="2"/>
  <c r="D34" i="2"/>
  <c r="D35" i="2"/>
  <c r="D36" i="2"/>
  <c r="D37" i="2"/>
  <c r="D38" i="2"/>
  <c r="D39" i="2"/>
  <c r="D40" i="2"/>
  <c r="D41" i="2"/>
  <c r="D42" i="2"/>
  <c r="D43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3" i="2"/>
  <c r="D74" i="2"/>
  <c r="D75" i="2"/>
  <c r="D76" i="2"/>
  <c r="D79" i="2"/>
  <c r="D80" i="2"/>
  <c r="D81" i="2"/>
  <c r="D82" i="2"/>
  <c r="D83" i="2"/>
  <c r="D84" i="2"/>
  <c r="D85" i="2"/>
  <c r="D88" i="2"/>
  <c r="D89" i="2"/>
  <c r="D90" i="2"/>
  <c r="D91" i="2"/>
  <c r="D92" i="2"/>
  <c r="D97" i="2"/>
  <c r="D98" i="2"/>
  <c r="D99" i="2"/>
  <c r="D100" i="2"/>
  <c r="D103" i="2"/>
  <c r="D104" i="2"/>
  <c r="D105" i="2"/>
  <c r="D106" i="2"/>
  <c r="D108" i="2"/>
  <c r="D109" i="2"/>
  <c r="D110" i="2"/>
  <c r="D111" i="2"/>
  <c r="D112" i="2"/>
  <c r="D113" i="2"/>
  <c r="D114" i="2"/>
  <c r="D115" i="2"/>
  <c r="D117" i="2"/>
  <c r="D118" i="2"/>
  <c r="D119" i="2"/>
  <c r="D120" i="2"/>
  <c r="D121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</calcChain>
</file>

<file path=xl/sharedStrings.xml><?xml version="1.0" encoding="utf-8"?>
<sst xmlns="http://schemas.openxmlformats.org/spreadsheetml/2006/main" count="493" uniqueCount="50">
  <si>
    <t>ประเภทขบวนรถไฟ</t>
  </si>
  <si>
    <t>เลขขบวน</t>
  </si>
  <si>
    <t>เส้นทาง</t>
  </si>
  <si>
    <t>ประเภทของขบวนรถไฟ</t>
  </si>
  <si>
    <t>ชานเมือง</t>
  </si>
  <si>
    <t>ธรรมดา</t>
  </si>
  <si>
    <t>กรุงเทพ-ลพบุรี</t>
  </si>
  <si>
    <t>กรุงเทพ-ชุมทางแก่งคอย</t>
  </si>
  <si>
    <t>กรุงเทพ-พิษณุโลก</t>
  </si>
  <si>
    <t>กรุงเทพ-บ้านตาคลี</t>
  </si>
  <si>
    <t>กรุงเทพ-สุรินทร์</t>
  </si>
  <si>
    <t>กรุงเทพ-ตะพานหิน</t>
  </si>
  <si>
    <t>กรุงเทพ-นครสวรรค์</t>
  </si>
  <si>
    <t>กรุงเทพ-ชุมทางบ้านภาชี</t>
  </si>
  <si>
    <t xml:space="preserve"> รถดีเซลรางชั้นที่ 3 </t>
  </si>
  <si>
    <t>รถดีเซลรางชั้นที่ 3</t>
  </si>
  <si>
    <t>ความจุที่นั่ง (ที่นั่ง)</t>
  </si>
  <si>
    <t>รถโบกี้ชั้นที่ 3</t>
  </si>
  <si>
    <t>ระยะทางที่พิจารณา กรุงเทพ-ชุมทางบ้านภาชี (กิโลเมตร)</t>
  </si>
  <si>
    <t>Origin</t>
  </si>
  <si>
    <t>Destination</t>
  </si>
  <si>
    <t>BKK</t>
  </si>
  <si>
    <t>Yomarat</t>
  </si>
  <si>
    <t>Rama Hospital</t>
  </si>
  <si>
    <t>Sam sen</t>
  </si>
  <si>
    <t>Bang sue</t>
  </si>
  <si>
    <t>DON MUENG</t>
  </si>
  <si>
    <t>Rangsit</t>
  </si>
  <si>
    <t>Klong Nueng</t>
  </si>
  <si>
    <t>Chiang rak</t>
  </si>
  <si>
    <t>TU</t>
  </si>
  <si>
    <t>Navanakhon</t>
  </si>
  <si>
    <t>Chiang rak noi</t>
  </si>
  <si>
    <t>Khlong Phutsa</t>
  </si>
  <si>
    <t>Bang pa in</t>
  </si>
  <si>
    <t>Ayutthaya</t>
  </si>
  <si>
    <t>Ban pa chi</t>
  </si>
  <si>
    <t>ราคาปัจุบัน(บาท)</t>
  </si>
  <si>
    <t>ระยะทาง(กม.)</t>
  </si>
  <si>
    <t>ราคาตาม คค.+เงินเฟ้อ(บาท)</t>
  </si>
  <si>
    <t>ราคาเพดาน Minimum fare (บาท)</t>
  </si>
  <si>
    <t>Station</t>
  </si>
  <si>
    <t>เวลาในการจอดของรถไฟ (นาที)</t>
  </si>
  <si>
    <t>Feasibility</t>
  </si>
  <si>
    <t>Revenue (bath)</t>
  </si>
  <si>
    <t>Time loss (bath)</t>
  </si>
  <si>
    <t>Z (Revenue – Loss)</t>
  </si>
  <si>
    <t>ต้องปรับ z ก่อนถึง feasible</t>
  </si>
  <si>
    <t>feasible เลย</t>
  </si>
  <si>
    <r>
      <rPr>
        <b/>
        <sz val="11"/>
        <color theme="1"/>
        <rFont val="TH Sarabun New"/>
        <family val="2"/>
      </rPr>
      <t>λ</t>
    </r>
    <r>
      <rPr>
        <b/>
        <sz val="16"/>
        <color theme="1"/>
        <rFont val="TH Sarabun New"/>
        <family val="2"/>
      </rPr>
      <t xml:space="preserve"> (lambda)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</si>
</sst>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2"/>
      <color theme="1"/>
      <name val="TH Sarabun New"/>
      <family val="2"/>
    </font>
    <font>
      <b/>
      <sz val="10"/>
      <color theme="1"/>
      <name val="TH Sarabun New"/>
      <family val="2"/>
    </font>
    <font>
      <sz val="16"/>
      <name val="TH Sarabun New"/>
      <family val="2"/>
    </font>
    <font>
      <b/>
      <sz val="11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2D40-B10F-4CBB-A901-69149B1E26E2}">
  <dimension ref="A1:F12"/>
  <sheetViews>
    <sheetView workbookViewId="0">
      <selection activeCell="F16" sqref="F16"/>
    </sheetView>
  </sheetViews>
  <sheetFormatPr defaultColWidth="19.3984375" defaultRowHeight="24.6" x14ac:dyDescent="0.25"/>
  <cols>
    <col min="1" max="1" width="17" style="2" customWidth="1"/>
    <col min="2" max="2" width="9.09765625" style="2" customWidth="1"/>
    <col min="3" max="3" width="26.09765625" style="2" customWidth="1"/>
    <col min="4" max="4" width="19.3984375" style="2"/>
    <col min="5" max="5" width="15.69921875" style="2" customWidth="1"/>
    <col min="6" max="6" width="44.296875" style="2" customWidth="1"/>
    <col min="7" max="16384" width="19.39843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18</v>
      </c>
    </row>
    <row r="2" spans="1:6" x14ac:dyDescent="0.25">
      <c r="A2" s="2" t="s">
        <v>4</v>
      </c>
      <c r="B2" s="2">
        <v>303</v>
      </c>
      <c r="C2" s="2" t="s">
        <v>6</v>
      </c>
      <c r="D2" s="3" t="s">
        <v>14</v>
      </c>
      <c r="E2" s="2">
        <v>76</v>
      </c>
      <c r="F2" s="2">
        <v>89.95</v>
      </c>
    </row>
    <row r="3" spans="1:6" x14ac:dyDescent="0.25">
      <c r="A3" s="2" t="s">
        <v>4</v>
      </c>
      <c r="B3" s="2">
        <v>339</v>
      </c>
      <c r="C3" s="2" t="s">
        <v>7</v>
      </c>
      <c r="D3" s="3" t="s">
        <v>14</v>
      </c>
      <c r="E3" s="2">
        <v>76</v>
      </c>
      <c r="F3" s="2">
        <v>89.95</v>
      </c>
    </row>
    <row r="4" spans="1:6" x14ac:dyDescent="0.25">
      <c r="A4" s="2" t="s">
        <v>5</v>
      </c>
      <c r="B4" s="2">
        <v>201</v>
      </c>
      <c r="C4" s="2" t="s">
        <v>8</v>
      </c>
      <c r="D4" s="2" t="s">
        <v>17</v>
      </c>
      <c r="E4" s="2">
        <v>76</v>
      </c>
      <c r="F4" s="2">
        <v>89.95</v>
      </c>
    </row>
    <row r="5" spans="1:6" x14ac:dyDescent="0.25">
      <c r="A5" s="2" t="s">
        <v>5</v>
      </c>
      <c r="B5" s="2">
        <v>209</v>
      </c>
      <c r="C5" s="2" t="s">
        <v>9</v>
      </c>
      <c r="D5" s="2" t="s">
        <v>15</v>
      </c>
      <c r="E5" s="2">
        <v>76</v>
      </c>
      <c r="F5" s="2">
        <v>89.95</v>
      </c>
    </row>
    <row r="6" spans="1:6" x14ac:dyDescent="0.25">
      <c r="A6" s="2" t="s">
        <v>5</v>
      </c>
      <c r="B6" s="2">
        <v>233</v>
      </c>
      <c r="C6" s="2" t="s">
        <v>10</v>
      </c>
      <c r="D6" s="2" t="s">
        <v>17</v>
      </c>
      <c r="E6" s="2">
        <v>76</v>
      </c>
      <c r="F6" s="2">
        <v>89.95</v>
      </c>
    </row>
    <row r="7" spans="1:6" x14ac:dyDescent="0.25">
      <c r="A7" s="2" t="s">
        <v>5</v>
      </c>
      <c r="B7" s="2">
        <v>211</v>
      </c>
      <c r="C7" s="2" t="s">
        <v>11</v>
      </c>
      <c r="D7" s="2" t="s">
        <v>17</v>
      </c>
      <c r="E7" s="2">
        <v>76</v>
      </c>
      <c r="F7" s="2">
        <v>89.95</v>
      </c>
    </row>
    <row r="8" spans="1:6" x14ac:dyDescent="0.25">
      <c r="A8" s="2" t="s">
        <v>5</v>
      </c>
      <c r="B8" s="2">
        <v>207</v>
      </c>
      <c r="C8" s="2" t="s">
        <v>12</v>
      </c>
      <c r="D8" s="2" t="s">
        <v>17</v>
      </c>
      <c r="E8" s="2">
        <v>76</v>
      </c>
      <c r="F8" s="2">
        <v>89.95</v>
      </c>
    </row>
    <row r="9" spans="1:6" x14ac:dyDescent="0.25">
      <c r="A9" s="2" t="s">
        <v>4</v>
      </c>
      <c r="B9" s="2">
        <v>301</v>
      </c>
      <c r="C9" s="2" t="s">
        <v>6</v>
      </c>
      <c r="D9" s="2" t="s">
        <v>17</v>
      </c>
      <c r="E9" s="2">
        <v>76</v>
      </c>
      <c r="F9" s="2">
        <v>89.95</v>
      </c>
    </row>
    <row r="10" spans="1:6" x14ac:dyDescent="0.25">
      <c r="A10" s="2" t="s">
        <v>4</v>
      </c>
      <c r="B10" s="2">
        <v>341</v>
      </c>
      <c r="C10" s="2" t="s">
        <v>7</v>
      </c>
      <c r="D10" s="2" t="s">
        <v>17</v>
      </c>
      <c r="E10" s="2">
        <v>76</v>
      </c>
      <c r="F10" s="2">
        <v>89.95</v>
      </c>
    </row>
    <row r="11" spans="1:6" x14ac:dyDescent="0.25">
      <c r="A11" s="2" t="s">
        <v>4</v>
      </c>
      <c r="B11" s="2">
        <v>317</v>
      </c>
      <c r="C11" s="2" t="s">
        <v>6</v>
      </c>
      <c r="D11" s="2" t="s">
        <v>15</v>
      </c>
      <c r="E11" s="2">
        <v>76</v>
      </c>
      <c r="F11" s="2">
        <v>89.95</v>
      </c>
    </row>
    <row r="12" spans="1:6" x14ac:dyDescent="0.25">
      <c r="A12" s="2" t="s">
        <v>4</v>
      </c>
      <c r="B12" s="2">
        <v>313</v>
      </c>
      <c r="C12" s="2" t="s">
        <v>13</v>
      </c>
      <c r="D12" s="2" t="s">
        <v>17</v>
      </c>
      <c r="E12" s="2">
        <v>76</v>
      </c>
      <c r="F12" s="2">
        <v>89.95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134F-AB5B-4CDB-8199-952A01B70C42}">
  <dimension ref="A1:F121"/>
  <sheetViews>
    <sheetView tabSelected="1" workbookViewId="0">
      <selection activeCell="I5" sqref="I5"/>
    </sheetView>
  </sheetViews>
  <sheetFormatPr defaultColWidth="14.69921875" defaultRowHeight="24.6" x14ac:dyDescent="0.25"/>
  <cols>
    <col min="1" max="3" width="14.69921875" style="2"/>
    <col min="4" max="4" width="18.3984375" style="2" customWidth="1"/>
    <col min="5" max="5" width="14.69921875" style="12"/>
    <col min="6" max="6" width="17.19921875" style="9" customWidth="1"/>
    <col min="7" max="16384" width="14.69921875" style="2"/>
  </cols>
  <sheetData>
    <row r="1" spans="1:6" x14ac:dyDescent="0.25">
      <c r="A1" s="4" t="s">
        <v>19</v>
      </c>
      <c r="B1" s="4" t="s">
        <v>20</v>
      </c>
      <c r="C1" s="1" t="s">
        <v>38</v>
      </c>
      <c r="D1" s="7" t="s">
        <v>39</v>
      </c>
      <c r="E1" s="11" t="s">
        <v>37</v>
      </c>
      <c r="F1" s="8" t="s">
        <v>40</v>
      </c>
    </row>
    <row r="2" spans="1:6" x14ac:dyDescent="0.25">
      <c r="A2" s="5" t="s">
        <v>21</v>
      </c>
      <c r="B2" s="5" t="s">
        <v>22</v>
      </c>
      <c r="C2" s="2">
        <v>2.17</v>
      </c>
      <c r="D2" s="2">
        <v>6</v>
      </c>
      <c r="E2" s="12">
        <v>20</v>
      </c>
      <c r="F2" s="9">
        <v>20</v>
      </c>
    </row>
    <row r="3" spans="1:6" x14ac:dyDescent="0.25">
      <c r="A3" s="5" t="s">
        <v>21</v>
      </c>
      <c r="B3" s="5" t="s">
        <v>23</v>
      </c>
      <c r="C3" s="2">
        <v>3.3</v>
      </c>
      <c r="D3" s="2">
        <v>6</v>
      </c>
      <c r="E3" s="12">
        <v>20</v>
      </c>
      <c r="F3" s="9">
        <v>20</v>
      </c>
    </row>
    <row r="4" spans="1:6" x14ac:dyDescent="0.25">
      <c r="A4" s="5" t="s">
        <v>21</v>
      </c>
      <c r="B4" s="5" t="s">
        <v>24</v>
      </c>
      <c r="C4" s="2">
        <v>4.8</v>
      </c>
      <c r="D4" s="2">
        <v>6</v>
      </c>
      <c r="E4" s="12">
        <v>20</v>
      </c>
      <c r="F4" s="9">
        <v>20</v>
      </c>
    </row>
    <row r="5" spans="1:6" x14ac:dyDescent="0.25">
      <c r="A5" s="5" t="s">
        <v>21</v>
      </c>
      <c r="B5" s="5" t="s">
        <v>25</v>
      </c>
      <c r="C5" s="2">
        <v>7.47</v>
      </c>
      <c r="D5" s="2">
        <v>6</v>
      </c>
      <c r="E5" s="12">
        <v>20</v>
      </c>
      <c r="F5" s="9">
        <v>20</v>
      </c>
    </row>
    <row r="6" spans="1:6" x14ac:dyDescent="0.25">
      <c r="A6" s="5" t="s">
        <v>21</v>
      </c>
      <c r="B6" s="5" t="s">
        <v>26</v>
      </c>
      <c r="C6" s="2">
        <v>22.21</v>
      </c>
      <c r="D6" s="6">
        <f>0.697*C6</f>
        <v>15.480369999999999</v>
      </c>
      <c r="E6" s="12">
        <v>20</v>
      </c>
      <c r="F6" s="10">
        <v>20</v>
      </c>
    </row>
    <row r="7" spans="1:6" x14ac:dyDescent="0.25">
      <c r="A7" s="5" t="s">
        <v>21</v>
      </c>
      <c r="B7" s="5" t="s">
        <v>27</v>
      </c>
      <c r="C7" s="2">
        <v>29.75</v>
      </c>
      <c r="D7" s="6">
        <f t="shared" ref="D7:D66" si="0">0.697*C7</f>
        <v>20.735749999999999</v>
      </c>
      <c r="E7" s="12">
        <v>20</v>
      </c>
      <c r="F7" s="10">
        <f t="shared" ref="F7:F16" si="1">D7</f>
        <v>20.735749999999999</v>
      </c>
    </row>
    <row r="8" spans="1:6" x14ac:dyDescent="0.25">
      <c r="A8" s="5" t="s">
        <v>21</v>
      </c>
      <c r="B8" s="5" t="s">
        <v>28</v>
      </c>
      <c r="C8" s="2">
        <v>33.840000000000003</v>
      </c>
      <c r="D8" s="6">
        <f t="shared" si="0"/>
        <v>23.586480000000002</v>
      </c>
      <c r="E8" s="12">
        <v>20</v>
      </c>
      <c r="F8" s="10">
        <f t="shared" si="1"/>
        <v>23.586480000000002</v>
      </c>
    </row>
    <row r="9" spans="1:6" x14ac:dyDescent="0.25">
      <c r="A9" s="5" t="s">
        <v>21</v>
      </c>
      <c r="B9" s="5" t="s">
        <v>29</v>
      </c>
      <c r="C9" s="2">
        <v>37.47</v>
      </c>
      <c r="D9" s="6">
        <f t="shared" si="0"/>
        <v>26.116589999999999</v>
      </c>
      <c r="E9" s="12">
        <v>20</v>
      </c>
      <c r="F9" s="10">
        <f t="shared" si="1"/>
        <v>26.116589999999999</v>
      </c>
    </row>
    <row r="10" spans="1:6" x14ac:dyDescent="0.25">
      <c r="A10" s="5" t="s">
        <v>21</v>
      </c>
      <c r="B10" s="5" t="s">
        <v>30</v>
      </c>
      <c r="C10" s="2">
        <v>40.19</v>
      </c>
      <c r="D10" s="6">
        <f t="shared" si="0"/>
        <v>28.012429999999995</v>
      </c>
      <c r="E10" s="12">
        <v>20</v>
      </c>
      <c r="F10" s="10">
        <f t="shared" si="1"/>
        <v>28.012429999999995</v>
      </c>
    </row>
    <row r="11" spans="1:6" x14ac:dyDescent="0.25">
      <c r="A11" s="5" t="s">
        <v>21</v>
      </c>
      <c r="B11" s="5" t="s">
        <v>31</v>
      </c>
      <c r="C11" s="2">
        <v>44.12</v>
      </c>
      <c r="D11" s="6">
        <f t="shared" si="0"/>
        <v>30.751639999999995</v>
      </c>
      <c r="E11" s="12">
        <v>20</v>
      </c>
      <c r="F11" s="10">
        <f t="shared" si="1"/>
        <v>30.751639999999995</v>
      </c>
    </row>
    <row r="12" spans="1:6" x14ac:dyDescent="0.25">
      <c r="A12" s="5" t="s">
        <v>21</v>
      </c>
      <c r="B12" s="5" t="s">
        <v>32</v>
      </c>
      <c r="C12" s="2">
        <v>46.01</v>
      </c>
      <c r="D12" s="6">
        <f t="shared" si="0"/>
        <v>32.068969999999993</v>
      </c>
      <c r="E12" s="12">
        <v>20</v>
      </c>
      <c r="F12" s="10">
        <f t="shared" si="1"/>
        <v>32.068969999999993</v>
      </c>
    </row>
    <row r="13" spans="1:6" x14ac:dyDescent="0.25">
      <c r="A13" s="5" t="s">
        <v>21</v>
      </c>
      <c r="B13" s="5" t="s">
        <v>33</v>
      </c>
      <c r="C13" s="2">
        <v>51.88</v>
      </c>
      <c r="D13" s="6">
        <f t="shared" si="0"/>
        <v>36.160359999999997</v>
      </c>
      <c r="E13" s="12">
        <v>20</v>
      </c>
      <c r="F13" s="10">
        <f t="shared" si="1"/>
        <v>36.160359999999997</v>
      </c>
    </row>
    <row r="14" spans="1:6" x14ac:dyDescent="0.25">
      <c r="A14" s="5" t="s">
        <v>21</v>
      </c>
      <c r="B14" s="5" t="s">
        <v>34</v>
      </c>
      <c r="C14" s="2">
        <v>58</v>
      </c>
      <c r="D14" s="6">
        <f t="shared" si="0"/>
        <v>40.425999999999995</v>
      </c>
      <c r="E14" s="12">
        <v>20</v>
      </c>
      <c r="F14" s="10">
        <f t="shared" si="1"/>
        <v>40.425999999999995</v>
      </c>
    </row>
    <row r="15" spans="1:6" x14ac:dyDescent="0.25">
      <c r="A15" s="5" t="s">
        <v>21</v>
      </c>
      <c r="B15" s="5" t="s">
        <v>35</v>
      </c>
      <c r="C15" s="2">
        <v>71.08</v>
      </c>
      <c r="D15" s="6">
        <f t="shared" si="0"/>
        <v>49.542759999999994</v>
      </c>
      <c r="E15" s="12">
        <v>20</v>
      </c>
      <c r="F15" s="10">
        <f t="shared" si="1"/>
        <v>49.542759999999994</v>
      </c>
    </row>
    <row r="16" spans="1:6" x14ac:dyDescent="0.25">
      <c r="A16" s="5" t="s">
        <v>21</v>
      </c>
      <c r="B16" s="5" t="s">
        <v>36</v>
      </c>
      <c r="C16" s="2">
        <v>89.95</v>
      </c>
      <c r="D16" s="6">
        <f t="shared" si="0"/>
        <v>62.695149999999998</v>
      </c>
      <c r="E16" s="12">
        <v>30</v>
      </c>
      <c r="F16" s="10">
        <f t="shared" si="1"/>
        <v>62.695149999999998</v>
      </c>
    </row>
    <row r="17" spans="1:6" x14ac:dyDescent="0.25">
      <c r="A17" s="5" t="s">
        <v>22</v>
      </c>
      <c r="B17" s="5" t="s">
        <v>23</v>
      </c>
      <c r="C17" s="2">
        <f>C3-C2</f>
        <v>1.1299999999999999</v>
      </c>
      <c r="D17" s="2">
        <v>6</v>
      </c>
      <c r="E17" s="12">
        <v>20</v>
      </c>
      <c r="F17" s="9">
        <v>20</v>
      </c>
    </row>
    <row r="18" spans="1:6" x14ac:dyDescent="0.25">
      <c r="A18" s="5" t="s">
        <v>22</v>
      </c>
      <c r="B18" s="5" t="s">
        <v>24</v>
      </c>
      <c r="C18" s="2">
        <f>C4-C2</f>
        <v>2.63</v>
      </c>
      <c r="D18" s="2">
        <v>6</v>
      </c>
      <c r="E18" s="12">
        <v>20</v>
      </c>
      <c r="F18" s="9">
        <v>20</v>
      </c>
    </row>
    <row r="19" spans="1:6" x14ac:dyDescent="0.25">
      <c r="A19" s="5" t="s">
        <v>22</v>
      </c>
      <c r="B19" s="5" t="s">
        <v>25</v>
      </c>
      <c r="C19" s="2">
        <f>C5-C2</f>
        <v>5.3</v>
      </c>
      <c r="D19" s="2">
        <v>6</v>
      </c>
      <c r="E19" s="12">
        <v>20</v>
      </c>
      <c r="F19" s="9">
        <v>20</v>
      </c>
    </row>
    <row r="20" spans="1:6" x14ac:dyDescent="0.25">
      <c r="A20" s="5" t="s">
        <v>22</v>
      </c>
      <c r="B20" s="5" t="s">
        <v>26</v>
      </c>
      <c r="C20" s="2">
        <f>C6-C2</f>
        <v>20.04</v>
      </c>
      <c r="D20" s="6">
        <f t="shared" si="0"/>
        <v>13.967879999999999</v>
      </c>
      <c r="E20" s="12">
        <v>20</v>
      </c>
      <c r="F20" s="9">
        <v>20</v>
      </c>
    </row>
    <row r="21" spans="1:6" x14ac:dyDescent="0.25">
      <c r="A21" s="5" t="s">
        <v>22</v>
      </c>
      <c r="B21" s="5" t="s">
        <v>27</v>
      </c>
      <c r="C21" s="2">
        <f>C7-C2</f>
        <v>27.58</v>
      </c>
      <c r="D21" s="6">
        <f t="shared" si="0"/>
        <v>19.223259999999996</v>
      </c>
      <c r="E21" s="12">
        <v>20</v>
      </c>
      <c r="F21" s="9">
        <v>20</v>
      </c>
    </row>
    <row r="22" spans="1:6" x14ac:dyDescent="0.25">
      <c r="A22" s="5" t="s">
        <v>22</v>
      </c>
      <c r="B22" s="5" t="s">
        <v>28</v>
      </c>
      <c r="C22" s="2">
        <f>C8-C2</f>
        <v>31.67</v>
      </c>
      <c r="D22" s="6">
        <f t="shared" si="0"/>
        <v>22.073989999999998</v>
      </c>
      <c r="E22" s="12">
        <v>20</v>
      </c>
      <c r="F22" s="10">
        <f t="shared" ref="F22:F30" si="2">D22</f>
        <v>22.073989999999998</v>
      </c>
    </row>
    <row r="23" spans="1:6" x14ac:dyDescent="0.25">
      <c r="A23" s="5" t="s">
        <v>22</v>
      </c>
      <c r="B23" s="5" t="s">
        <v>29</v>
      </c>
      <c r="C23" s="2">
        <f>C9-C2</f>
        <v>35.299999999999997</v>
      </c>
      <c r="D23" s="6">
        <f t="shared" si="0"/>
        <v>24.604099999999995</v>
      </c>
      <c r="E23" s="12">
        <v>20</v>
      </c>
      <c r="F23" s="10">
        <f t="shared" si="2"/>
        <v>24.604099999999995</v>
      </c>
    </row>
    <row r="24" spans="1:6" x14ac:dyDescent="0.25">
      <c r="A24" s="5" t="s">
        <v>22</v>
      </c>
      <c r="B24" s="5" t="s">
        <v>30</v>
      </c>
      <c r="C24" s="2">
        <f>C10-C2</f>
        <v>38.019999999999996</v>
      </c>
      <c r="D24" s="6">
        <f t="shared" si="0"/>
        <v>26.499939999999995</v>
      </c>
      <c r="E24" s="12">
        <v>20</v>
      </c>
      <c r="F24" s="10">
        <f t="shared" si="2"/>
        <v>26.499939999999995</v>
      </c>
    </row>
    <row r="25" spans="1:6" x14ac:dyDescent="0.25">
      <c r="A25" s="5" t="s">
        <v>22</v>
      </c>
      <c r="B25" s="5" t="s">
        <v>31</v>
      </c>
      <c r="C25" s="2">
        <f>C11-C2</f>
        <v>41.949999999999996</v>
      </c>
      <c r="D25" s="6">
        <f t="shared" si="0"/>
        <v>29.239149999999995</v>
      </c>
      <c r="E25" s="12">
        <v>20</v>
      </c>
      <c r="F25" s="10">
        <f t="shared" si="2"/>
        <v>29.239149999999995</v>
      </c>
    </row>
    <row r="26" spans="1:6" x14ac:dyDescent="0.25">
      <c r="A26" s="5" t="s">
        <v>22</v>
      </c>
      <c r="B26" s="5" t="s">
        <v>32</v>
      </c>
      <c r="C26" s="2">
        <f>C12-C2</f>
        <v>43.839999999999996</v>
      </c>
      <c r="D26" s="6">
        <f t="shared" si="0"/>
        <v>30.556479999999997</v>
      </c>
      <c r="E26" s="12">
        <v>20</v>
      </c>
      <c r="F26" s="10">
        <f t="shared" si="2"/>
        <v>30.556479999999997</v>
      </c>
    </row>
    <row r="27" spans="1:6" x14ac:dyDescent="0.25">
      <c r="A27" s="5" t="s">
        <v>22</v>
      </c>
      <c r="B27" s="5" t="s">
        <v>33</v>
      </c>
      <c r="C27" s="2">
        <f>C13-C2</f>
        <v>49.71</v>
      </c>
      <c r="D27" s="6">
        <f t="shared" si="0"/>
        <v>34.647869999999998</v>
      </c>
      <c r="E27" s="12">
        <v>20</v>
      </c>
      <c r="F27" s="10">
        <f t="shared" si="2"/>
        <v>34.647869999999998</v>
      </c>
    </row>
    <row r="28" spans="1:6" x14ac:dyDescent="0.25">
      <c r="A28" s="5" t="s">
        <v>22</v>
      </c>
      <c r="B28" s="5" t="s">
        <v>34</v>
      </c>
      <c r="C28" s="2">
        <f>C14-C2</f>
        <v>55.83</v>
      </c>
      <c r="D28" s="6">
        <f t="shared" si="0"/>
        <v>38.913509999999995</v>
      </c>
      <c r="E28" s="12">
        <v>20</v>
      </c>
      <c r="F28" s="10">
        <f t="shared" si="2"/>
        <v>38.913509999999995</v>
      </c>
    </row>
    <row r="29" spans="1:6" x14ac:dyDescent="0.25">
      <c r="A29" s="5" t="s">
        <v>22</v>
      </c>
      <c r="B29" s="5" t="s">
        <v>35</v>
      </c>
      <c r="C29" s="2">
        <f>C15-C2</f>
        <v>68.91</v>
      </c>
      <c r="D29" s="6">
        <f t="shared" si="0"/>
        <v>48.030269999999994</v>
      </c>
      <c r="E29" s="12">
        <v>20</v>
      </c>
      <c r="F29" s="10">
        <f t="shared" si="2"/>
        <v>48.030269999999994</v>
      </c>
    </row>
    <row r="30" spans="1:6" x14ac:dyDescent="0.25">
      <c r="A30" s="5" t="s">
        <v>22</v>
      </c>
      <c r="B30" s="5" t="s">
        <v>36</v>
      </c>
      <c r="C30" s="2">
        <f>C16-C2</f>
        <v>87.78</v>
      </c>
      <c r="D30" s="6">
        <f t="shared" si="0"/>
        <v>61.182659999999998</v>
      </c>
      <c r="E30" s="12">
        <v>30</v>
      </c>
      <c r="F30" s="10">
        <f t="shared" si="2"/>
        <v>61.182659999999998</v>
      </c>
    </row>
    <row r="31" spans="1:6" x14ac:dyDescent="0.25">
      <c r="A31" s="5" t="s">
        <v>23</v>
      </c>
      <c r="B31" s="5" t="s">
        <v>24</v>
      </c>
      <c r="C31" s="2">
        <f>C18-C17</f>
        <v>1.5</v>
      </c>
      <c r="D31" s="2">
        <v>6</v>
      </c>
      <c r="E31" s="12">
        <v>20</v>
      </c>
      <c r="F31" s="9">
        <v>20</v>
      </c>
    </row>
    <row r="32" spans="1:6" x14ac:dyDescent="0.25">
      <c r="A32" s="5" t="s">
        <v>23</v>
      </c>
      <c r="B32" s="5" t="s">
        <v>25</v>
      </c>
      <c r="C32" s="2">
        <f>C19-C17</f>
        <v>4.17</v>
      </c>
      <c r="D32" s="2">
        <v>6</v>
      </c>
      <c r="E32" s="12">
        <v>20</v>
      </c>
      <c r="F32" s="9">
        <v>20</v>
      </c>
    </row>
    <row r="33" spans="1:6" x14ac:dyDescent="0.25">
      <c r="A33" s="5" t="s">
        <v>23</v>
      </c>
      <c r="B33" s="5" t="s">
        <v>26</v>
      </c>
      <c r="C33" s="2">
        <f>C20-C17</f>
        <v>18.91</v>
      </c>
      <c r="D33" s="6">
        <f t="shared" si="0"/>
        <v>13.180269999999998</v>
      </c>
      <c r="E33" s="12">
        <v>20</v>
      </c>
      <c r="F33" s="9">
        <v>20</v>
      </c>
    </row>
    <row r="34" spans="1:6" x14ac:dyDescent="0.25">
      <c r="A34" s="5" t="s">
        <v>23</v>
      </c>
      <c r="B34" s="5" t="s">
        <v>27</v>
      </c>
      <c r="C34" s="2">
        <f>C21-C17</f>
        <v>26.45</v>
      </c>
      <c r="D34" s="6">
        <f t="shared" si="0"/>
        <v>18.435649999999999</v>
      </c>
      <c r="E34" s="12">
        <v>20</v>
      </c>
      <c r="F34" s="9">
        <v>20</v>
      </c>
    </row>
    <row r="35" spans="1:6" x14ac:dyDescent="0.25">
      <c r="A35" s="5" t="s">
        <v>23</v>
      </c>
      <c r="B35" s="5" t="s">
        <v>28</v>
      </c>
      <c r="C35" s="2">
        <f>C22-C17</f>
        <v>30.540000000000003</v>
      </c>
      <c r="D35" s="6">
        <f t="shared" si="0"/>
        <v>21.286380000000001</v>
      </c>
      <c r="E35" s="12">
        <v>20</v>
      </c>
      <c r="F35" s="10">
        <f t="shared" ref="F35:F43" si="3">D35</f>
        <v>21.286380000000001</v>
      </c>
    </row>
    <row r="36" spans="1:6" x14ac:dyDescent="0.25">
      <c r="A36" s="5" t="s">
        <v>23</v>
      </c>
      <c r="B36" s="5" t="s">
        <v>29</v>
      </c>
      <c r="C36" s="2">
        <f>C23-C17</f>
        <v>34.169999999999995</v>
      </c>
      <c r="D36" s="6">
        <f t="shared" si="0"/>
        <v>23.816489999999995</v>
      </c>
      <c r="E36" s="12">
        <v>20</v>
      </c>
      <c r="F36" s="10">
        <f t="shared" si="3"/>
        <v>23.816489999999995</v>
      </c>
    </row>
    <row r="37" spans="1:6" x14ac:dyDescent="0.25">
      <c r="A37" s="5" t="s">
        <v>23</v>
      </c>
      <c r="B37" s="5" t="s">
        <v>30</v>
      </c>
      <c r="C37" s="2">
        <f>C24-C17</f>
        <v>36.889999999999993</v>
      </c>
      <c r="D37" s="6">
        <f t="shared" si="0"/>
        <v>25.712329999999994</v>
      </c>
      <c r="E37" s="12">
        <v>20</v>
      </c>
      <c r="F37" s="10">
        <f t="shared" si="3"/>
        <v>25.712329999999994</v>
      </c>
    </row>
    <row r="38" spans="1:6" x14ac:dyDescent="0.25">
      <c r="A38" s="5" t="s">
        <v>23</v>
      </c>
      <c r="B38" s="5" t="s">
        <v>31</v>
      </c>
      <c r="C38" s="2">
        <f>C25-C17</f>
        <v>40.819999999999993</v>
      </c>
      <c r="D38" s="6">
        <f t="shared" si="0"/>
        <v>28.451539999999994</v>
      </c>
      <c r="E38" s="12">
        <v>20</v>
      </c>
      <c r="F38" s="10">
        <f t="shared" si="3"/>
        <v>28.451539999999994</v>
      </c>
    </row>
    <row r="39" spans="1:6" x14ac:dyDescent="0.25">
      <c r="A39" s="5" t="s">
        <v>23</v>
      </c>
      <c r="B39" s="5" t="s">
        <v>32</v>
      </c>
      <c r="C39" s="2">
        <f>C26-C17</f>
        <v>42.709999999999994</v>
      </c>
      <c r="D39" s="6">
        <f t="shared" si="0"/>
        <v>29.768869999999993</v>
      </c>
      <c r="E39" s="12">
        <v>20</v>
      </c>
      <c r="F39" s="10">
        <f t="shared" si="3"/>
        <v>29.768869999999993</v>
      </c>
    </row>
    <row r="40" spans="1:6" x14ac:dyDescent="0.25">
      <c r="A40" s="5" t="s">
        <v>23</v>
      </c>
      <c r="B40" s="5" t="s">
        <v>33</v>
      </c>
      <c r="C40" s="2">
        <f>C27-C17</f>
        <v>48.58</v>
      </c>
      <c r="D40" s="6">
        <f t="shared" si="0"/>
        <v>33.860259999999997</v>
      </c>
      <c r="E40" s="12">
        <v>20</v>
      </c>
      <c r="F40" s="10">
        <f t="shared" si="3"/>
        <v>33.860259999999997</v>
      </c>
    </row>
    <row r="41" spans="1:6" x14ac:dyDescent="0.25">
      <c r="A41" s="5" t="s">
        <v>23</v>
      </c>
      <c r="B41" s="5" t="s">
        <v>34</v>
      </c>
      <c r="C41" s="2">
        <f>C28-C17</f>
        <v>54.699999999999996</v>
      </c>
      <c r="D41" s="6">
        <f t="shared" si="0"/>
        <v>38.125899999999994</v>
      </c>
      <c r="E41" s="12">
        <v>20</v>
      </c>
      <c r="F41" s="10">
        <f t="shared" si="3"/>
        <v>38.125899999999994</v>
      </c>
    </row>
    <row r="42" spans="1:6" x14ac:dyDescent="0.25">
      <c r="A42" s="5" t="s">
        <v>23</v>
      </c>
      <c r="B42" s="5" t="s">
        <v>35</v>
      </c>
      <c r="C42" s="2">
        <f>C29-C17</f>
        <v>67.78</v>
      </c>
      <c r="D42" s="6">
        <f t="shared" si="0"/>
        <v>47.242660000000001</v>
      </c>
      <c r="E42" s="12">
        <v>20</v>
      </c>
      <c r="F42" s="10">
        <f t="shared" si="3"/>
        <v>47.242660000000001</v>
      </c>
    </row>
    <row r="43" spans="1:6" x14ac:dyDescent="0.25">
      <c r="A43" s="5" t="s">
        <v>23</v>
      </c>
      <c r="B43" s="5" t="s">
        <v>36</v>
      </c>
      <c r="C43" s="2">
        <f>C30-C17</f>
        <v>86.65</v>
      </c>
      <c r="D43" s="6">
        <f t="shared" si="0"/>
        <v>60.395049999999998</v>
      </c>
      <c r="E43" s="12">
        <v>30</v>
      </c>
      <c r="F43" s="10">
        <f t="shared" si="3"/>
        <v>60.395049999999998</v>
      </c>
    </row>
    <row r="44" spans="1:6" x14ac:dyDescent="0.25">
      <c r="A44" s="5" t="s">
        <v>24</v>
      </c>
      <c r="B44" s="5" t="s">
        <v>25</v>
      </c>
      <c r="C44" s="2">
        <f>C32-C31</f>
        <v>2.67</v>
      </c>
      <c r="D44" s="2">
        <v>6</v>
      </c>
      <c r="E44" s="12">
        <v>20</v>
      </c>
      <c r="F44" s="9">
        <v>20</v>
      </c>
    </row>
    <row r="45" spans="1:6" x14ac:dyDescent="0.25">
      <c r="A45" s="5" t="s">
        <v>24</v>
      </c>
      <c r="B45" s="5" t="s">
        <v>26</v>
      </c>
      <c r="C45" s="2">
        <f>C33-C31</f>
        <v>17.41</v>
      </c>
      <c r="D45" s="6">
        <f>0.697*C45</f>
        <v>12.13477</v>
      </c>
      <c r="E45" s="12">
        <v>20</v>
      </c>
      <c r="F45" s="9">
        <v>20</v>
      </c>
    </row>
    <row r="46" spans="1:6" x14ac:dyDescent="0.25">
      <c r="A46" s="5" t="s">
        <v>24</v>
      </c>
      <c r="B46" s="5" t="s">
        <v>27</v>
      </c>
      <c r="C46" s="2">
        <f>C34-C31</f>
        <v>24.95</v>
      </c>
      <c r="D46" s="6">
        <f t="shared" si="0"/>
        <v>17.390149999999998</v>
      </c>
      <c r="E46" s="12">
        <v>20</v>
      </c>
      <c r="F46" s="9">
        <v>20</v>
      </c>
    </row>
    <row r="47" spans="1:6" x14ac:dyDescent="0.25">
      <c r="A47" s="5" t="s">
        <v>24</v>
      </c>
      <c r="B47" s="5" t="s">
        <v>28</v>
      </c>
      <c r="C47" s="2">
        <f>C35-C31</f>
        <v>29.040000000000003</v>
      </c>
      <c r="D47" s="6">
        <f t="shared" si="0"/>
        <v>20.240880000000001</v>
      </c>
      <c r="E47" s="12">
        <v>20</v>
      </c>
      <c r="F47" s="9">
        <v>20</v>
      </c>
    </row>
    <row r="48" spans="1:6" x14ac:dyDescent="0.25">
      <c r="A48" s="5" t="s">
        <v>24</v>
      </c>
      <c r="B48" s="5" t="s">
        <v>29</v>
      </c>
      <c r="C48" s="2">
        <f>C36-C31</f>
        <v>32.669999999999995</v>
      </c>
      <c r="D48" s="6">
        <f t="shared" si="0"/>
        <v>22.770989999999994</v>
      </c>
      <c r="E48" s="12">
        <v>20</v>
      </c>
      <c r="F48" s="10">
        <f t="shared" ref="F48:F55" si="4">D48</f>
        <v>22.770989999999994</v>
      </c>
    </row>
    <row r="49" spans="1:6" x14ac:dyDescent="0.25">
      <c r="A49" s="5" t="s">
        <v>24</v>
      </c>
      <c r="B49" s="5" t="s">
        <v>30</v>
      </c>
      <c r="C49" s="2">
        <f>C37-C31</f>
        <v>35.389999999999993</v>
      </c>
      <c r="D49" s="6">
        <f t="shared" si="0"/>
        <v>24.666829999999994</v>
      </c>
      <c r="E49" s="12">
        <v>20</v>
      </c>
      <c r="F49" s="10">
        <f t="shared" si="4"/>
        <v>24.666829999999994</v>
      </c>
    </row>
    <row r="50" spans="1:6" x14ac:dyDescent="0.25">
      <c r="A50" s="5" t="s">
        <v>24</v>
      </c>
      <c r="B50" s="5" t="s">
        <v>31</v>
      </c>
      <c r="C50" s="2">
        <f>C38-C31</f>
        <v>39.319999999999993</v>
      </c>
      <c r="D50" s="6">
        <f t="shared" si="0"/>
        <v>27.406039999999994</v>
      </c>
      <c r="E50" s="12">
        <v>20</v>
      </c>
      <c r="F50" s="10">
        <f t="shared" si="4"/>
        <v>27.406039999999994</v>
      </c>
    </row>
    <row r="51" spans="1:6" x14ac:dyDescent="0.25">
      <c r="A51" s="5" t="s">
        <v>24</v>
      </c>
      <c r="B51" s="5" t="s">
        <v>32</v>
      </c>
      <c r="C51" s="2">
        <f>C39-C31</f>
        <v>41.209999999999994</v>
      </c>
      <c r="D51" s="6">
        <f t="shared" si="0"/>
        <v>28.723369999999992</v>
      </c>
      <c r="E51" s="12">
        <v>20</v>
      </c>
      <c r="F51" s="10">
        <f t="shared" si="4"/>
        <v>28.723369999999992</v>
      </c>
    </row>
    <row r="52" spans="1:6" x14ac:dyDescent="0.25">
      <c r="A52" s="5" t="s">
        <v>24</v>
      </c>
      <c r="B52" s="5" t="s">
        <v>33</v>
      </c>
      <c r="C52" s="2">
        <f>C40-C31</f>
        <v>47.08</v>
      </c>
      <c r="D52" s="6">
        <f t="shared" si="0"/>
        <v>32.81476</v>
      </c>
      <c r="E52" s="12">
        <v>20</v>
      </c>
      <c r="F52" s="10">
        <f t="shared" si="4"/>
        <v>32.81476</v>
      </c>
    </row>
    <row r="53" spans="1:6" x14ac:dyDescent="0.25">
      <c r="A53" s="5" t="s">
        <v>24</v>
      </c>
      <c r="B53" s="5" t="s">
        <v>34</v>
      </c>
      <c r="C53" s="2">
        <f>C41-C31</f>
        <v>53.199999999999996</v>
      </c>
      <c r="D53" s="6">
        <f t="shared" si="0"/>
        <v>37.080399999999997</v>
      </c>
      <c r="E53" s="12">
        <v>20</v>
      </c>
      <c r="F53" s="10">
        <f t="shared" si="4"/>
        <v>37.080399999999997</v>
      </c>
    </row>
    <row r="54" spans="1:6" x14ac:dyDescent="0.25">
      <c r="A54" s="5" t="s">
        <v>24</v>
      </c>
      <c r="B54" s="5" t="s">
        <v>35</v>
      </c>
      <c r="C54" s="2">
        <f>C42-C31</f>
        <v>66.28</v>
      </c>
      <c r="D54" s="6">
        <f t="shared" si="0"/>
        <v>46.197159999999997</v>
      </c>
      <c r="E54" s="12">
        <v>20</v>
      </c>
      <c r="F54" s="10">
        <f t="shared" si="4"/>
        <v>46.197159999999997</v>
      </c>
    </row>
    <row r="55" spans="1:6" x14ac:dyDescent="0.25">
      <c r="A55" s="5" t="s">
        <v>24</v>
      </c>
      <c r="B55" s="5" t="s">
        <v>36</v>
      </c>
      <c r="C55" s="2">
        <f>C43-C31</f>
        <v>85.15</v>
      </c>
      <c r="D55" s="6">
        <f t="shared" si="0"/>
        <v>59.349550000000001</v>
      </c>
      <c r="E55" s="12">
        <v>30</v>
      </c>
      <c r="F55" s="10">
        <f t="shared" si="4"/>
        <v>59.349550000000001</v>
      </c>
    </row>
    <row r="56" spans="1:6" x14ac:dyDescent="0.25">
      <c r="A56" s="5" t="s">
        <v>25</v>
      </c>
      <c r="B56" s="5" t="s">
        <v>26</v>
      </c>
      <c r="C56" s="2">
        <f>C45-C44</f>
        <v>14.74</v>
      </c>
      <c r="D56" s="6">
        <f t="shared" si="0"/>
        <v>10.273779999999999</v>
      </c>
      <c r="E56" s="12">
        <v>20</v>
      </c>
      <c r="F56" s="9">
        <v>20</v>
      </c>
    </row>
    <row r="57" spans="1:6" x14ac:dyDescent="0.25">
      <c r="A57" s="5" t="s">
        <v>25</v>
      </c>
      <c r="B57" s="5" t="s">
        <v>27</v>
      </c>
      <c r="C57" s="2">
        <f>C46-C44</f>
        <v>22.28</v>
      </c>
      <c r="D57" s="6">
        <f t="shared" si="0"/>
        <v>15.529159999999999</v>
      </c>
      <c r="E57" s="12">
        <v>20</v>
      </c>
      <c r="F57" s="9">
        <v>20</v>
      </c>
    </row>
    <row r="58" spans="1:6" x14ac:dyDescent="0.25">
      <c r="A58" s="5" t="s">
        <v>25</v>
      </c>
      <c r="B58" s="5" t="s">
        <v>28</v>
      </c>
      <c r="C58" s="2">
        <f>C47-C44</f>
        <v>26.370000000000005</v>
      </c>
      <c r="D58" s="6">
        <f t="shared" si="0"/>
        <v>18.379890000000003</v>
      </c>
      <c r="E58" s="12">
        <v>20</v>
      </c>
      <c r="F58" s="9">
        <v>20</v>
      </c>
    </row>
    <row r="59" spans="1:6" x14ac:dyDescent="0.25">
      <c r="A59" s="5" t="s">
        <v>25</v>
      </c>
      <c r="B59" s="5" t="s">
        <v>29</v>
      </c>
      <c r="C59" s="2">
        <f>C48-C44</f>
        <v>29.999999999999993</v>
      </c>
      <c r="D59" s="6">
        <f t="shared" si="0"/>
        <v>20.909999999999993</v>
      </c>
      <c r="E59" s="12">
        <v>20</v>
      </c>
      <c r="F59" s="10">
        <f t="shared" ref="F59:F66" si="5">D59</f>
        <v>20.909999999999993</v>
      </c>
    </row>
    <row r="60" spans="1:6" x14ac:dyDescent="0.25">
      <c r="A60" s="5" t="s">
        <v>25</v>
      </c>
      <c r="B60" s="5" t="s">
        <v>30</v>
      </c>
      <c r="C60" s="2">
        <f>C49-C44</f>
        <v>32.719999999999992</v>
      </c>
      <c r="D60" s="6">
        <f t="shared" si="0"/>
        <v>22.805839999999993</v>
      </c>
      <c r="E60" s="12">
        <v>20</v>
      </c>
      <c r="F60" s="10">
        <f t="shared" si="5"/>
        <v>22.805839999999993</v>
      </c>
    </row>
    <row r="61" spans="1:6" x14ac:dyDescent="0.25">
      <c r="A61" s="5" t="s">
        <v>25</v>
      </c>
      <c r="B61" s="5" t="s">
        <v>31</v>
      </c>
      <c r="C61" s="2">
        <f>C50-C44</f>
        <v>36.649999999999991</v>
      </c>
      <c r="D61" s="6">
        <f t="shared" si="0"/>
        <v>25.545049999999993</v>
      </c>
      <c r="E61" s="12">
        <v>20</v>
      </c>
      <c r="F61" s="10">
        <f t="shared" si="5"/>
        <v>25.545049999999993</v>
      </c>
    </row>
    <row r="62" spans="1:6" x14ac:dyDescent="0.25">
      <c r="A62" s="5" t="s">
        <v>25</v>
      </c>
      <c r="B62" s="5" t="s">
        <v>32</v>
      </c>
      <c r="C62" s="2">
        <f>C51-C44</f>
        <v>38.539999999999992</v>
      </c>
      <c r="D62" s="6">
        <f t="shared" si="0"/>
        <v>26.862379999999991</v>
      </c>
      <c r="E62" s="12">
        <v>20</v>
      </c>
      <c r="F62" s="10">
        <f t="shared" si="5"/>
        <v>26.862379999999991</v>
      </c>
    </row>
    <row r="63" spans="1:6" x14ac:dyDescent="0.25">
      <c r="A63" s="5" t="s">
        <v>25</v>
      </c>
      <c r="B63" s="5" t="s">
        <v>33</v>
      </c>
      <c r="C63" s="2">
        <f>C52-C44</f>
        <v>44.41</v>
      </c>
      <c r="D63" s="6">
        <f t="shared" si="0"/>
        <v>30.953769999999995</v>
      </c>
      <c r="E63" s="12">
        <v>20</v>
      </c>
      <c r="F63" s="10">
        <f t="shared" si="5"/>
        <v>30.953769999999995</v>
      </c>
    </row>
    <row r="64" spans="1:6" x14ac:dyDescent="0.25">
      <c r="A64" s="5" t="s">
        <v>25</v>
      </c>
      <c r="B64" s="5" t="s">
        <v>34</v>
      </c>
      <c r="C64" s="2">
        <f>C53-C44</f>
        <v>50.529999999999994</v>
      </c>
      <c r="D64" s="6">
        <f t="shared" si="0"/>
        <v>35.219409999999996</v>
      </c>
      <c r="E64" s="12">
        <v>20</v>
      </c>
      <c r="F64" s="10">
        <f t="shared" si="5"/>
        <v>35.219409999999996</v>
      </c>
    </row>
    <row r="65" spans="1:6" x14ac:dyDescent="0.25">
      <c r="A65" s="5" t="s">
        <v>25</v>
      </c>
      <c r="B65" s="5" t="s">
        <v>35</v>
      </c>
      <c r="C65" s="2">
        <f>C54-C44</f>
        <v>63.61</v>
      </c>
      <c r="D65" s="6">
        <f t="shared" si="0"/>
        <v>44.336169999999996</v>
      </c>
      <c r="E65" s="12">
        <v>20</v>
      </c>
      <c r="F65" s="10">
        <f t="shared" si="5"/>
        <v>44.336169999999996</v>
      </c>
    </row>
    <row r="66" spans="1:6" x14ac:dyDescent="0.25">
      <c r="A66" s="5" t="s">
        <v>25</v>
      </c>
      <c r="B66" s="5" t="s">
        <v>36</v>
      </c>
      <c r="C66" s="2">
        <f>C55-C44</f>
        <v>82.48</v>
      </c>
      <c r="D66" s="6">
        <f t="shared" si="0"/>
        <v>57.48856</v>
      </c>
      <c r="E66" s="12">
        <v>30</v>
      </c>
      <c r="F66" s="10">
        <f t="shared" si="5"/>
        <v>57.48856</v>
      </c>
    </row>
    <row r="67" spans="1:6" x14ac:dyDescent="0.25">
      <c r="A67" s="5" t="s">
        <v>26</v>
      </c>
      <c r="B67" s="5" t="s">
        <v>27</v>
      </c>
      <c r="C67" s="2">
        <f>C57-C56</f>
        <v>7.5400000000000009</v>
      </c>
      <c r="D67" s="6">
        <v>6</v>
      </c>
      <c r="E67" s="12">
        <v>20</v>
      </c>
      <c r="F67" s="9">
        <v>20</v>
      </c>
    </row>
    <row r="68" spans="1:6" x14ac:dyDescent="0.25">
      <c r="A68" s="5" t="s">
        <v>26</v>
      </c>
      <c r="B68" s="5" t="s">
        <v>28</v>
      </c>
      <c r="C68" s="2">
        <f>C58-C56</f>
        <v>11.630000000000004</v>
      </c>
      <c r="D68" s="6">
        <f t="shared" ref="D68:D121" si="6">0.697*C68</f>
        <v>8.1061100000000028</v>
      </c>
      <c r="E68" s="12">
        <v>20</v>
      </c>
      <c r="F68" s="9">
        <v>20</v>
      </c>
    </row>
    <row r="69" spans="1:6" x14ac:dyDescent="0.25">
      <c r="A69" s="5" t="s">
        <v>26</v>
      </c>
      <c r="B69" s="5" t="s">
        <v>29</v>
      </c>
      <c r="C69" s="2">
        <f>C59-C56</f>
        <v>15.259999999999993</v>
      </c>
      <c r="D69" s="6">
        <f t="shared" si="6"/>
        <v>10.636219999999994</v>
      </c>
      <c r="E69" s="12">
        <v>20</v>
      </c>
      <c r="F69" s="9">
        <v>20</v>
      </c>
    </row>
    <row r="70" spans="1:6" x14ac:dyDescent="0.25">
      <c r="A70" s="5" t="s">
        <v>26</v>
      </c>
      <c r="B70" s="5" t="s">
        <v>30</v>
      </c>
      <c r="C70" s="2">
        <f>C60-C56</f>
        <v>17.97999999999999</v>
      </c>
      <c r="D70" s="6">
        <f t="shared" si="6"/>
        <v>12.532059999999992</v>
      </c>
      <c r="E70" s="12">
        <v>20</v>
      </c>
      <c r="F70" s="9">
        <v>20</v>
      </c>
    </row>
    <row r="71" spans="1:6" x14ac:dyDescent="0.25">
      <c r="A71" s="5" t="s">
        <v>26</v>
      </c>
      <c r="B71" s="5" t="s">
        <v>31</v>
      </c>
      <c r="C71" s="2">
        <f>C61-C56</f>
        <v>21.909999999999989</v>
      </c>
      <c r="D71" s="6">
        <f t="shared" si="6"/>
        <v>15.271269999999992</v>
      </c>
      <c r="E71" s="12">
        <v>20</v>
      </c>
      <c r="F71" s="9">
        <v>20</v>
      </c>
    </row>
    <row r="72" spans="1:6" x14ac:dyDescent="0.25">
      <c r="A72" s="5" t="s">
        <v>26</v>
      </c>
      <c r="B72" s="5" t="s">
        <v>32</v>
      </c>
      <c r="C72" s="2">
        <f>C62-C56</f>
        <v>23.79999999999999</v>
      </c>
      <c r="D72" s="6">
        <f t="shared" si="6"/>
        <v>16.588599999999992</v>
      </c>
      <c r="E72" s="12">
        <v>20</v>
      </c>
      <c r="F72" s="9">
        <v>20</v>
      </c>
    </row>
    <row r="73" spans="1:6" x14ac:dyDescent="0.25">
      <c r="A73" s="5" t="s">
        <v>26</v>
      </c>
      <c r="B73" s="5" t="s">
        <v>33</v>
      </c>
      <c r="C73" s="2">
        <f>C63-C56</f>
        <v>29.669999999999995</v>
      </c>
      <c r="D73" s="6">
        <f t="shared" si="6"/>
        <v>20.679989999999997</v>
      </c>
      <c r="E73" s="12">
        <v>20</v>
      </c>
      <c r="F73" s="10">
        <f t="shared" ref="F73:F76" si="7">D73</f>
        <v>20.679989999999997</v>
      </c>
    </row>
    <row r="74" spans="1:6" x14ac:dyDescent="0.25">
      <c r="A74" s="5" t="s">
        <v>26</v>
      </c>
      <c r="B74" s="5" t="s">
        <v>34</v>
      </c>
      <c r="C74" s="2">
        <f>C64-C56</f>
        <v>35.789999999999992</v>
      </c>
      <c r="D74" s="6">
        <f t="shared" si="6"/>
        <v>24.945629999999994</v>
      </c>
      <c r="E74" s="12">
        <v>20</v>
      </c>
      <c r="F74" s="10">
        <f t="shared" si="7"/>
        <v>24.945629999999994</v>
      </c>
    </row>
    <row r="75" spans="1:6" x14ac:dyDescent="0.25">
      <c r="A75" s="5" t="s">
        <v>26</v>
      </c>
      <c r="B75" s="5" t="s">
        <v>35</v>
      </c>
      <c r="C75" s="2">
        <f>C65-C56</f>
        <v>48.87</v>
      </c>
      <c r="D75" s="6">
        <f t="shared" si="6"/>
        <v>34.062389999999994</v>
      </c>
      <c r="E75" s="12">
        <v>20</v>
      </c>
      <c r="F75" s="10">
        <f t="shared" si="7"/>
        <v>34.062389999999994</v>
      </c>
    </row>
    <row r="76" spans="1:6" x14ac:dyDescent="0.25">
      <c r="A76" s="5" t="s">
        <v>26</v>
      </c>
      <c r="B76" s="5" t="s">
        <v>36</v>
      </c>
      <c r="C76" s="2">
        <f>C66-C56</f>
        <v>67.740000000000009</v>
      </c>
      <c r="D76" s="6">
        <f t="shared" si="6"/>
        <v>47.214780000000005</v>
      </c>
      <c r="E76" s="12">
        <v>20</v>
      </c>
      <c r="F76" s="10">
        <f t="shared" si="7"/>
        <v>47.214780000000005</v>
      </c>
    </row>
    <row r="77" spans="1:6" x14ac:dyDescent="0.25">
      <c r="A77" s="5" t="s">
        <v>27</v>
      </c>
      <c r="B77" s="5" t="s">
        <v>28</v>
      </c>
      <c r="C77" s="2">
        <f>C68-C67</f>
        <v>4.0900000000000034</v>
      </c>
      <c r="D77" s="6">
        <v>6</v>
      </c>
      <c r="E77" s="12">
        <v>20</v>
      </c>
      <c r="F77" s="9">
        <v>20</v>
      </c>
    </row>
    <row r="78" spans="1:6" x14ac:dyDescent="0.25">
      <c r="A78" s="5" t="s">
        <v>27</v>
      </c>
      <c r="B78" s="5" t="s">
        <v>29</v>
      </c>
      <c r="C78" s="2">
        <f>C69-C67</f>
        <v>7.7199999999999918</v>
      </c>
      <c r="D78" s="6">
        <v>6</v>
      </c>
      <c r="E78" s="12">
        <v>20</v>
      </c>
      <c r="F78" s="9">
        <v>20</v>
      </c>
    </row>
    <row r="79" spans="1:6" x14ac:dyDescent="0.25">
      <c r="A79" s="5" t="s">
        <v>27</v>
      </c>
      <c r="B79" s="5" t="s">
        <v>30</v>
      </c>
      <c r="C79" s="2">
        <f>C70-C67</f>
        <v>10.439999999999989</v>
      </c>
      <c r="D79" s="6">
        <f t="shared" si="6"/>
        <v>7.2766799999999918</v>
      </c>
      <c r="E79" s="12">
        <v>20</v>
      </c>
      <c r="F79" s="9">
        <v>20</v>
      </c>
    </row>
    <row r="80" spans="1:6" x14ac:dyDescent="0.25">
      <c r="A80" s="5" t="s">
        <v>27</v>
      </c>
      <c r="B80" s="5" t="s">
        <v>31</v>
      </c>
      <c r="C80" s="2">
        <f>C71-C67</f>
        <v>14.369999999999989</v>
      </c>
      <c r="D80" s="6">
        <f t="shared" si="6"/>
        <v>10.015889999999992</v>
      </c>
      <c r="E80" s="12">
        <v>20</v>
      </c>
      <c r="F80" s="9">
        <v>20</v>
      </c>
    </row>
    <row r="81" spans="1:6" x14ac:dyDescent="0.25">
      <c r="A81" s="5" t="s">
        <v>27</v>
      </c>
      <c r="B81" s="5" t="s">
        <v>32</v>
      </c>
      <c r="C81" s="2">
        <f>C72-C67</f>
        <v>16.259999999999991</v>
      </c>
      <c r="D81" s="6">
        <f t="shared" si="6"/>
        <v>11.333219999999994</v>
      </c>
      <c r="E81" s="12">
        <v>20</v>
      </c>
      <c r="F81" s="9">
        <v>20</v>
      </c>
    </row>
    <row r="82" spans="1:6" x14ac:dyDescent="0.25">
      <c r="A82" s="5" t="s">
        <v>27</v>
      </c>
      <c r="B82" s="5" t="s">
        <v>33</v>
      </c>
      <c r="C82" s="2">
        <f>C73-C67</f>
        <v>22.129999999999995</v>
      </c>
      <c r="D82" s="6">
        <f t="shared" si="6"/>
        <v>15.424609999999996</v>
      </c>
      <c r="E82" s="12">
        <v>20</v>
      </c>
      <c r="F82" s="9">
        <v>20</v>
      </c>
    </row>
    <row r="83" spans="1:6" x14ac:dyDescent="0.25">
      <c r="A83" s="5" t="s">
        <v>27</v>
      </c>
      <c r="B83" s="5" t="s">
        <v>34</v>
      </c>
      <c r="C83" s="2">
        <f>C74-C67</f>
        <v>28.249999999999993</v>
      </c>
      <c r="D83" s="6">
        <f t="shared" si="6"/>
        <v>19.690249999999995</v>
      </c>
      <c r="E83" s="12">
        <v>20</v>
      </c>
      <c r="F83" s="9">
        <v>20</v>
      </c>
    </row>
    <row r="84" spans="1:6" x14ac:dyDescent="0.25">
      <c r="A84" s="5" t="s">
        <v>27</v>
      </c>
      <c r="B84" s="5" t="s">
        <v>35</v>
      </c>
      <c r="C84" s="2">
        <f>C75-C67</f>
        <v>41.33</v>
      </c>
      <c r="D84" s="6">
        <f t="shared" si="6"/>
        <v>28.807009999999998</v>
      </c>
      <c r="E84" s="12">
        <v>20</v>
      </c>
      <c r="F84" s="10">
        <f t="shared" ref="F84:F85" si="8">D84</f>
        <v>28.807009999999998</v>
      </c>
    </row>
    <row r="85" spans="1:6" x14ac:dyDescent="0.25">
      <c r="A85" s="5" t="s">
        <v>27</v>
      </c>
      <c r="B85" s="5" t="s">
        <v>36</v>
      </c>
      <c r="C85" s="2">
        <f>C76-C67</f>
        <v>60.20000000000001</v>
      </c>
      <c r="D85" s="6">
        <f t="shared" si="6"/>
        <v>41.959400000000002</v>
      </c>
      <c r="E85" s="12">
        <v>20</v>
      </c>
      <c r="F85" s="10">
        <f t="shared" si="8"/>
        <v>41.959400000000002</v>
      </c>
    </row>
    <row r="86" spans="1:6" x14ac:dyDescent="0.25">
      <c r="A86" s="5" t="s">
        <v>28</v>
      </c>
      <c r="B86" s="5" t="s">
        <v>29</v>
      </c>
      <c r="C86" s="2">
        <f>C78-C77</f>
        <v>3.6299999999999883</v>
      </c>
      <c r="D86" s="6">
        <v>6</v>
      </c>
      <c r="E86" s="12">
        <v>20</v>
      </c>
      <c r="F86" s="9">
        <v>20</v>
      </c>
    </row>
    <row r="87" spans="1:6" x14ac:dyDescent="0.25">
      <c r="A87" s="5" t="s">
        <v>28</v>
      </c>
      <c r="B87" s="5" t="s">
        <v>30</v>
      </c>
      <c r="C87" s="2">
        <f>C79-C77</f>
        <v>6.3499999999999854</v>
      </c>
      <c r="D87" s="6">
        <v>6</v>
      </c>
      <c r="E87" s="12">
        <v>20</v>
      </c>
      <c r="F87" s="9">
        <v>20</v>
      </c>
    </row>
    <row r="88" spans="1:6" x14ac:dyDescent="0.25">
      <c r="A88" s="5" t="s">
        <v>28</v>
      </c>
      <c r="B88" s="5" t="s">
        <v>31</v>
      </c>
      <c r="C88" s="2">
        <f>C80-C77</f>
        <v>10.279999999999985</v>
      </c>
      <c r="D88" s="6">
        <f t="shared" si="6"/>
        <v>7.1651599999999895</v>
      </c>
      <c r="E88" s="12">
        <v>20</v>
      </c>
      <c r="F88" s="9">
        <v>20</v>
      </c>
    </row>
    <row r="89" spans="1:6" x14ac:dyDescent="0.25">
      <c r="A89" s="5" t="s">
        <v>28</v>
      </c>
      <c r="B89" s="5" t="s">
        <v>32</v>
      </c>
      <c r="C89" s="2">
        <f>C81-C77</f>
        <v>12.169999999999987</v>
      </c>
      <c r="D89" s="6">
        <f t="shared" si="6"/>
        <v>8.4824899999999914</v>
      </c>
      <c r="E89" s="12">
        <v>20</v>
      </c>
      <c r="F89" s="9">
        <v>20</v>
      </c>
    </row>
    <row r="90" spans="1:6" x14ac:dyDescent="0.25">
      <c r="A90" s="5" t="s">
        <v>28</v>
      </c>
      <c r="B90" s="5" t="s">
        <v>33</v>
      </c>
      <c r="C90" s="2">
        <f>C82-C77</f>
        <v>18.039999999999992</v>
      </c>
      <c r="D90" s="6">
        <f t="shared" si="6"/>
        <v>12.573879999999994</v>
      </c>
      <c r="E90" s="12">
        <v>20</v>
      </c>
      <c r="F90" s="9">
        <v>20</v>
      </c>
    </row>
    <row r="91" spans="1:6" x14ac:dyDescent="0.25">
      <c r="A91" s="5" t="s">
        <v>28</v>
      </c>
      <c r="B91" s="5" t="s">
        <v>34</v>
      </c>
      <c r="C91" s="2">
        <f>C83-C77</f>
        <v>24.159999999999989</v>
      </c>
      <c r="D91" s="6">
        <f t="shared" si="6"/>
        <v>16.839519999999993</v>
      </c>
      <c r="E91" s="12">
        <v>20</v>
      </c>
      <c r="F91" s="9">
        <v>20</v>
      </c>
    </row>
    <row r="92" spans="1:6" x14ac:dyDescent="0.25">
      <c r="A92" s="5" t="s">
        <v>28</v>
      </c>
      <c r="B92" s="5" t="s">
        <v>35</v>
      </c>
      <c r="C92" s="2">
        <f>C84--C77</f>
        <v>45.42</v>
      </c>
      <c r="D92" s="6">
        <f t="shared" si="6"/>
        <v>31.65774</v>
      </c>
      <c r="E92" s="12">
        <v>20</v>
      </c>
      <c r="F92" s="10">
        <f>D92</f>
        <v>31.65774</v>
      </c>
    </row>
    <row r="93" spans="1:6" x14ac:dyDescent="0.25">
      <c r="A93" s="5" t="s">
        <v>28</v>
      </c>
      <c r="B93" s="5" t="s">
        <v>36</v>
      </c>
      <c r="C93" s="2">
        <f>C85-C77</f>
        <v>56.110000000000007</v>
      </c>
      <c r="D93" s="6">
        <f t="shared" si="6"/>
        <v>39.108670000000004</v>
      </c>
      <c r="E93" s="12">
        <v>20</v>
      </c>
      <c r="F93" s="10">
        <f>D93</f>
        <v>39.108670000000004</v>
      </c>
    </row>
    <row r="94" spans="1:6" x14ac:dyDescent="0.25">
      <c r="A94" s="5" t="s">
        <v>29</v>
      </c>
      <c r="B94" s="5" t="s">
        <v>30</v>
      </c>
      <c r="C94" s="2">
        <f>C87-C86</f>
        <v>2.7199999999999971</v>
      </c>
      <c r="D94" s="6">
        <v>6</v>
      </c>
      <c r="E94" s="12">
        <v>20</v>
      </c>
      <c r="F94" s="9">
        <v>20</v>
      </c>
    </row>
    <row r="95" spans="1:6" x14ac:dyDescent="0.25">
      <c r="A95" s="5" t="s">
        <v>29</v>
      </c>
      <c r="B95" s="5" t="s">
        <v>31</v>
      </c>
      <c r="C95" s="2">
        <f>C88-C86</f>
        <v>6.6499999999999968</v>
      </c>
      <c r="D95" s="6">
        <v>6</v>
      </c>
      <c r="E95" s="12">
        <v>20</v>
      </c>
      <c r="F95" s="9">
        <v>20</v>
      </c>
    </row>
    <row r="96" spans="1:6" x14ac:dyDescent="0.25">
      <c r="A96" s="5" t="s">
        <v>29</v>
      </c>
      <c r="B96" s="5" t="s">
        <v>32</v>
      </c>
      <c r="C96" s="2">
        <f>C89-C86</f>
        <v>8.5399999999999991</v>
      </c>
      <c r="D96" s="6">
        <v>6</v>
      </c>
      <c r="E96" s="12">
        <v>20</v>
      </c>
      <c r="F96" s="9">
        <v>20</v>
      </c>
    </row>
    <row r="97" spans="1:6" x14ac:dyDescent="0.25">
      <c r="A97" s="5" t="s">
        <v>29</v>
      </c>
      <c r="B97" s="5" t="s">
        <v>33</v>
      </c>
      <c r="C97" s="2">
        <f>C90-C86</f>
        <v>14.410000000000004</v>
      </c>
      <c r="D97" s="6">
        <f t="shared" si="6"/>
        <v>10.043770000000002</v>
      </c>
      <c r="E97" s="12">
        <v>20</v>
      </c>
      <c r="F97" s="9">
        <v>20</v>
      </c>
    </row>
    <row r="98" spans="1:6" x14ac:dyDescent="0.25">
      <c r="A98" s="5" t="s">
        <v>29</v>
      </c>
      <c r="B98" s="5" t="s">
        <v>34</v>
      </c>
      <c r="C98" s="2">
        <f>C91-C86</f>
        <v>20.53</v>
      </c>
      <c r="D98" s="6">
        <f t="shared" si="6"/>
        <v>14.30941</v>
      </c>
      <c r="E98" s="12">
        <v>20</v>
      </c>
      <c r="F98" s="9">
        <v>20</v>
      </c>
    </row>
    <row r="99" spans="1:6" x14ac:dyDescent="0.25">
      <c r="A99" s="5" t="s">
        <v>29</v>
      </c>
      <c r="B99" s="5" t="s">
        <v>35</v>
      </c>
      <c r="C99" s="2">
        <f>C92-C86</f>
        <v>41.790000000000013</v>
      </c>
      <c r="D99" s="6">
        <f t="shared" si="6"/>
        <v>29.127630000000007</v>
      </c>
      <c r="E99" s="12">
        <v>20</v>
      </c>
      <c r="F99" s="10">
        <f>D99</f>
        <v>29.127630000000007</v>
      </c>
    </row>
    <row r="100" spans="1:6" x14ac:dyDescent="0.25">
      <c r="A100" s="5" t="s">
        <v>29</v>
      </c>
      <c r="B100" s="5" t="s">
        <v>36</v>
      </c>
      <c r="C100" s="2">
        <f>C93--C86</f>
        <v>59.739999999999995</v>
      </c>
      <c r="D100" s="6">
        <f t="shared" si="6"/>
        <v>41.638779999999997</v>
      </c>
      <c r="E100" s="12">
        <v>20</v>
      </c>
      <c r="F100" s="10">
        <f>D100</f>
        <v>41.638779999999997</v>
      </c>
    </row>
    <row r="101" spans="1:6" x14ac:dyDescent="0.25">
      <c r="A101" s="5" t="s">
        <v>30</v>
      </c>
      <c r="B101" s="5" t="s">
        <v>31</v>
      </c>
      <c r="C101" s="2">
        <f>C95-C94</f>
        <v>3.9299999999999997</v>
      </c>
      <c r="D101" s="6">
        <v>6</v>
      </c>
      <c r="E101" s="12">
        <v>20</v>
      </c>
      <c r="F101" s="9">
        <v>20</v>
      </c>
    </row>
    <row r="102" spans="1:6" x14ac:dyDescent="0.25">
      <c r="A102" s="5" t="s">
        <v>30</v>
      </c>
      <c r="B102" s="5" t="s">
        <v>32</v>
      </c>
      <c r="C102" s="2">
        <f>C96-C94</f>
        <v>5.8200000000000021</v>
      </c>
      <c r="D102" s="6">
        <v>6</v>
      </c>
      <c r="E102" s="12">
        <v>20</v>
      </c>
      <c r="F102" s="9">
        <v>20</v>
      </c>
    </row>
    <row r="103" spans="1:6" x14ac:dyDescent="0.25">
      <c r="A103" s="5" t="s">
        <v>30</v>
      </c>
      <c r="B103" s="5" t="s">
        <v>33</v>
      </c>
      <c r="C103" s="2">
        <f>C97--C94</f>
        <v>17.130000000000003</v>
      </c>
      <c r="D103" s="6">
        <f t="shared" si="6"/>
        <v>11.939610000000002</v>
      </c>
      <c r="E103" s="12">
        <v>20</v>
      </c>
      <c r="F103" s="9">
        <v>20</v>
      </c>
    </row>
    <row r="104" spans="1:6" x14ac:dyDescent="0.25">
      <c r="A104" s="5" t="s">
        <v>30</v>
      </c>
      <c r="B104" s="5" t="s">
        <v>34</v>
      </c>
      <c r="C104" s="2">
        <f>C98-C94</f>
        <v>17.810000000000002</v>
      </c>
      <c r="D104" s="6">
        <f t="shared" si="6"/>
        <v>12.41357</v>
      </c>
      <c r="E104" s="12">
        <v>20</v>
      </c>
      <c r="F104" s="9">
        <v>20</v>
      </c>
    </row>
    <row r="105" spans="1:6" x14ac:dyDescent="0.25">
      <c r="A105" s="5" t="s">
        <v>30</v>
      </c>
      <c r="B105" s="5" t="s">
        <v>35</v>
      </c>
      <c r="C105" s="2">
        <f>C99-C94</f>
        <v>39.070000000000014</v>
      </c>
      <c r="D105" s="6">
        <f t="shared" si="6"/>
        <v>27.231790000000007</v>
      </c>
      <c r="E105" s="12">
        <v>20</v>
      </c>
      <c r="F105" s="10">
        <f t="shared" ref="F105:F106" si="9">D105</f>
        <v>27.231790000000007</v>
      </c>
    </row>
    <row r="106" spans="1:6" x14ac:dyDescent="0.25">
      <c r="A106" s="5" t="s">
        <v>30</v>
      </c>
      <c r="B106" s="5" t="s">
        <v>36</v>
      </c>
      <c r="C106" s="2">
        <f>C100-C94</f>
        <v>57.019999999999996</v>
      </c>
      <c r="D106" s="6">
        <f t="shared" si="6"/>
        <v>39.742939999999997</v>
      </c>
      <c r="E106" s="12">
        <v>20</v>
      </c>
      <c r="F106" s="10">
        <f t="shared" si="9"/>
        <v>39.742939999999997</v>
      </c>
    </row>
    <row r="107" spans="1:6" x14ac:dyDescent="0.25">
      <c r="A107" s="5" t="s">
        <v>31</v>
      </c>
      <c r="B107" s="5" t="s">
        <v>32</v>
      </c>
      <c r="C107" s="2">
        <f>C102-C101</f>
        <v>1.8900000000000023</v>
      </c>
      <c r="D107" s="6">
        <v>6</v>
      </c>
      <c r="E107" s="12">
        <v>20</v>
      </c>
      <c r="F107" s="9">
        <v>20</v>
      </c>
    </row>
    <row r="108" spans="1:6" x14ac:dyDescent="0.25">
      <c r="A108" s="5" t="s">
        <v>31</v>
      </c>
      <c r="B108" s="5" t="s">
        <v>33</v>
      </c>
      <c r="C108" s="2">
        <f>C103-C101</f>
        <v>13.200000000000003</v>
      </c>
      <c r="D108" s="6">
        <f t="shared" si="6"/>
        <v>9.2004000000000019</v>
      </c>
      <c r="E108" s="12">
        <v>20</v>
      </c>
      <c r="F108" s="9">
        <v>20</v>
      </c>
    </row>
    <row r="109" spans="1:6" x14ac:dyDescent="0.25">
      <c r="A109" s="5" t="s">
        <v>31</v>
      </c>
      <c r="B109" s="5" t="s">
        <v>34</v>
      </c>
      <c r="C109" s="2">
        <f>C104-C101</f>
        <v>13.880000000000003</v>
      </c>
      <c r="D109" s="6">
        <f t="shared" si="6"/>
        <v>9.6743600000000018</v>
      </c>
      <c r="E109" s="12">
        <v>20</v>
      </c>
      <c r="F109" s="9">
        <v>20</v>
      </c>
    </row>
    <row r="110" spans="1:6" x14ac:dyDescent="0.25">
      <c r="A110" s="5" t="s">
        <v>31</v>
      </c>
      <c r="B110" s="5" t="s">
        <v>35</v>
      </c>
      <c r="C110" s="2">
        <f>C105-C101</f>
        <v>35.140000000000015</v>
      </c>
      <c r="D110" s="6">
        <f t="shared" si="6"/>
        <v>24.492580000000007</v>
      </c>
      <c r="E110" s="12">
        <v>20</v>
      </c>
      <c r="F110" s="10">
        <f t="shared" ref="F110:F111" si="10">D110</f>
        <v>24.492580000000007</v>
      </c>
    </row>
    <row r="111" spans="1:6" x14ac:dyDescent="0.25">
      <c r="A111" s="5" t="s">
        <v>31</v>
      </c>
      <c r="B111" s="5" t="s">
        <v>36</v>
      </c>
      <c r="C111" s="2">
        <f>C106-C101</f>
        <v>53.089999999999996</v>
      </c>
      <c r="D111" s="6">
        <f t="shared" si="6"/>
        <v>37.003729999999997</v>
      </c>
      <c r="E111" s="12">
        <v>20</v>
      </c>
      <c r="F111" s="10">
        <f t="shared" si="10"/>
        <v>37.003729999999997</v>
      </c>
    </row>
    <row r="112" spans="1:6" x14ac:dyDescent="0.25">
      <c r="A112" s="5" t="s">
        <v>32</v>
      </c>
      <c r="B112" s="5" t="s">
        <v>33</v>
      </c>
      <c r="C112" s="2">
        <f>C108-C107</f>
        <v>11.31</v>
      </c>
      <c r="D112" s="6">
        <f t="shared" si="6"/>
        <v>7.88307</v>
      </c>
      <c r="E112" s="12">
        <v>20</v>
      </c>
      <c r="F112" s="9">
        <v>20</v>
      </c>
    </row>
    <row r="113" spans="1:6" x14ac:dyDescent="0.25">
      <c r="A113" s="5" t="s">
        <v>32</v>
      </c>
      <c r="B113" s="5" t="s">
        <v>34</v>
      </c>
      <c r="C113" s="2">
        <f>C109-C107</f>
        <v>11.99</v>
      </c>
      <c r="D113" s="6">
        <f t="shared" si="6"/>
        <v>8.35703</v>
      </c>
      <c r="E113" s="12">
        <v>20</v>
      </c>
      <c r="F113" s="9">
        <v>20</v>
      </c>
    </row>
    <row r="114" spans="1:6" x14ac:dyDescent="0.25">
      <c r="A114" s="5" t="s">
        <v>32</v>
      </c>
      <c r="B114" s="5" t="s">
        <v>35</v>
      </c>
      <c r="C114" s="2">
        <f>C110-C107</f>
        <v>33.250000000000014</v>
      </c>
      <c r="D114" s="6">
        <f t="shared" si="6"/>
        <v>23.175250000000009</v>
      </c>
      <c r="E114" s="12">
        <v>20</v>
      </c>
      <c r="F114" s="10">
        <f t="shared" ref="F114:F115" si="11">D114</f>
        <v>23.175250000000009</v>
      </c>
    </row>
    <row r="115" spans="1:6" x14ac:dyDescent="0.25">
      <c r="A115" s="5" t="s">
        <v>32</v>
      </c>
      <c r="B115" s="5" t="s">
        <v>36</v>
      </c>
      <c r="C115" s="2">
        <f>C111-C107</f>
        <v>51.199999999999996</v>
      </c>
      <c r="D115" s="6">
        <f t="shared" si="6"/>
        <v>35.686399999999992</v>
      </c>
      <c r="E115" s="12">
        <v>20</v>
      </c>
      <c r="F115" s="10">
        <f t="shared" si="11"/>
        <v>35.686399999999992</v>
      </c>
    </row>
    <row r="116" spans="1:6" x14ac:dyDescent="0.25">
      <c r="A116" s="5" t="s">
        <v>33</v>
      </c>
      <c r="B116" s="5" t="s">
        <v>34</v>
      </c>
      <c r="C116" s="2">
        <f>C113-C112</f>
        <v>0.67999999999999972</v>
      </c>
      <c r="D116" s="6">
        <v>6</v>
      </c>
      <c r="E116" s="12">
        <v>20</v>
      </c>
      <c r="F116" s="9">
        <v>20</v>
      </c>
    </row>
    <row r="117" spans="1:6" x14ac:dyDescent="0.25">
      <c r="A117" s="5" t="s">
        <v>33</v>
      </c>
      <c r="B117" s="5" t="s">
        <v>35</v>
      </c>
      <c r="C117" s="2">
        <f>C114-C112</f>
        <v>21.940000000000012</v>
      </c>
      <c r="D117" s="6">
        <f t="shared" si="6"/>
        <v>15.292180000000007</v>
      </c>
      <c r="E117" s="12">
        <v>20</v>
      </c>
      <c r="F117" s="9">
        <v>20</v>
      </c>
    </row>
    <row r="118" spans="1:6" x14ac:dyDescent="0.25">
      <c r="A118" s="5" t="s">
        <v>33</v>
      </c>
      <c r="B118" s="5" t="s">
        <v>36</v>
      </c>
      <c r="C118" s="2">
        <f>C115-C112</f>
        <v>39.889999999999993</v>
      </c>
      <c r="D118" s="6">
        <f t="shared" si="6"/>
        <v>27.803329999999992</v>
      </c>
      <c r="E118" s="12">
        <v>20</v>
      </c>
      <c r="F118" s="10">
        <f>$D$118</f>
        <v>27.803329999999992</v>
      </c>
    </row>
    <row r="119" spans="1:6" x14ac:dyDescent="0.25">
      <c r="A119" s="5" t="s">
        <v>34</v>
      </c>
      <c r="B119" s="5" t="s">
        <v>35</v>
      </c>
      <c r="C119" s="2">
        <f>C117-C116</f>
        <v>21.260000000000012</v>
      </c>
      <c r="D119" s="6">
        <f t="shared" si="6"/>
        <v>14.818220000000007</v>
      </c>
      <c r="E119" s="12">
        <v>20</v>
      </c>
      <c r="F119" s="9">
        <v>20</v>
      </c>
    </row>
    <row r="120" spans="1:6" x14ac:dyDescent="0.25">
      <c r="A120" s="5" t="s">
        <v>34</v>
      </c>
      <c r="B120" s="5" t="s">
        <v>36</v>
      </c>
      <c r="C120" s="2">
        <f>C118-C116</f>
        <v>39.209999999999994</v>
      </c>
      <c r="D120" s="6">
        <f t="shared" si="6"/>
        <v>27.329369999999994</v>
      </c>
      <c r="E120" s="12">
        <v>20</v>
      </c>
      <c r="F120" s="10">
        <f>$D$120</f>
        <v>27.329369999999994</v>
      </c>
    </row>
    <row r="121" spans="1:6" x14ac:dyDescent="0.25">
      <c r="A121" s="5" t="s">
        <v>35</v>
      </c>
      <c r="B121" s="5" t="s">
        <v>36</v>
      </c>
      <c r="C121" s="2">
        <f>C120-C119</f>
        <v>17.949999999999982</v>
      </c>
      <c r="D121" s="6">
        <f t="shared" si="6"/>
        <v>12.511149999999986</v>
      </c>
      <c r="E121" s="12">
        <v>20</v>
      </c>
      <c r="F121" s="9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0566-AB33-423B-B124-612AB7E2F098}">
  <dimension ref="A1:E6"/>
  <sheetViews>
    <sheetView workbookViewId="0">
      <selection activeCell="B2" sqref="B2"/>
    </sheetView>
  </sheetViews>
  <sheetFormatPr defaultColWidth="13.3984375" defaultRowHeight="22.95" customHeight="1" x14ac:dyDescent="0.25"/>
  <cols>
    <col min="1" max="1" width="13.3984375" style="2"/>
    <col min="2" max="2" width="26.69921875" style="2" customWidth="1"/>
    <col min="3" max="4" width="13.3984375" style="2"/>
    <col min="5" max="5" width="22.296875" style="2" customWidth="1"/>
    <col min="6" max="16384" width="13.3984375" style="2"/>
  </cols>
  <sheetData>
    <row r="1" spans="1:5" ht="22.95" customHeight="1" x14ac:dyDescent="0.25">
      <c r="A1" s="18" t="s">
        <v>49</v>
      </c>
      <c r="B1" s="18" t="s">
        <v>43</v>
      </c>
      <c r="C1" s="18" t="s">
        <v>44</v>
      </c>
      <c r="D1" s="18" t="s">
        <v>45</v>
      </c>
      <c r="E1" s="18" t="s">
        <v>46</v>
      </c>
    </row>
    <row r="2" spans="1:5" ht="22.95" customHeight="1" x14ac:dyDescent="0.25">
      <c r="A2" s="18">
        <v>0.02</v>
      </c>
      <c r="B2" s="19" t="s">
        <v>47</v>
      </c>
      <c r="C2" s="20">
        <v>21024</v>
      </c>
      <c r="D2" s="19">
        <v>473.68</v>
      </c>
      <c r="E2" s="21">
        <v>20550.32</v>
      </c>
    </row>
    <row r="3" spans="1:5" ht="22.95" customHeight="1" x14ac:dyDescent="0.25">
      <c r="A3" s="18">
        <v>0.05</v>
      </c>
      <c r="B3" s="19" t="s">
        <v>47</v>
      </c>
      <c r="C3" s="20">
        <v>21648</v>
      </c>
      <c r="D3" s="19">
        <v>430.28</v>
      </c>
      <c r="E3" s="21">
        <v>21217.72</v>
      </c>
    </row>
    <row r="4" spans="1:5" ht="22.95" customHeight="1" x14ac:dyDescent="0.25">
      <c r="A4" s="18">
        <v>0.1</v>
      </c>
      <c r="B4" s="19" t="s">
        <v>48</v>
      </c>
      <c r="C4" s="20">
        <v>2640</v>
      </c>
      <c r="D4" s="19">
        <v>23.56</v>
      </c>
      <c r="E4" s="21">
        <v>2616.44</v>
      </c>
    </row>
    <row r="5" spans="1:5" ht="22.95" customHeight="1" x14ac:dyDescent="0.25">
      <c r="A5" s="18">
        <v>0.2</v>
      </c>
      <c r="B5" s="19" t="s">
        <v>48</v>
      </c>
      <c r="C5" s="19">
        <v>0</v>
      </c>
      <c r="D5" s="19">
        <v>0</v>
      </c>
      <c r="E5" s="19">
        <v>0</v>
      </c>
    </row>
    <row r="6" spans="1:5" ht="22.95" customHeight="1" x14ac:dyDescent="0.25">
      <c r="A6" s="18">
        <v>0.5</v>
      </c>
      <c r="B6" s="19" t="s">
        <v>48</v>
      </c>
      <c r="C6" s="19">
        <v>0</v>
      </c>
      <c r="D6" s="19">
        <v>0</v>
      </c>
      <c r="E6" s="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FE0A-4FCE-4D6F-947F-44B14A813CBE}">
  <dimension ref="A1:K122"/>
  <sheetViews>
    <sheetView workbookViewId="0">
      <selection activeCell="E12" sqref="E12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17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17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2</v>
      </c>
    </row>
    <row r="17" spans="1:2" x14ac:dyDescent="0.7">
      <c r="A17" s="5" t="s">
        <v>36</v>
      </c>
      <c r="B17" s="2">
        <v>2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221C-3B52-4A9E-86C7-408F0124D3D2}">
  <dimension ref="A1:K122"/>
  <sheetViews>
    <sheetView workbookViewId="0">
      <selection activeCell="B3" sqref="B3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17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2">
        <v>1</v>
      </c>
    </row>
    <row r="12" spans="1:11" x14ac:dyDescent="0.7">
      <c r="A12" s="5" t="s">
        <v>31</v>
      </c>
      <c r="B12" s="2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14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="15" customFormat="1" x14ac:dyDescent="0.7"/>
    <row r="34" s="15" customFormat="1" x14ac:dyDescent="0.7"/>
    <row r="35" s="15" customFormat="1" x14ac:dyDescent="0.7"/>
    <row r="36" s="15" customFormat="1" x14ac:dyDescent="0.7"/>
    <row r="37" s="15" customFormat="1" x14ac:dyDescent="0.7"/>
    <row r="38" s="15" customFormat="1" x14ac:dyDescent="0.7"/>
    <row r="39" s="15" customFormat="1" x14ac:dyDescent="0.7"/>
    <row r="40" s="15" customFormat="1" x14ac:dyDescent="0.7"/>
    <row r="41" s="15" customFormat="1" x14ac:dyDescent="0.7"/>
    <row r="42" s="15" customFormat="1" x14ac:dyDescent="0.7"/>
    <row r="43" s="15" customFormat="1" x14ac:dyDescent="0.7"/>
    <row r="44" s="15" customFormat="1" x14ac:dyDescent="0.7"/>
    <row r="45" s="15" customFormat="1" x14ac:dyDescent="0.7"/>
    <row r="46" s="15" customFormat="1" x14ac:dyDescent="0.7"/>
    <row r="47" s="15" customFormat="1" x14ac:dyDescent="0.7"/>
    <row r="48" s="15" customFormat="1" x14ac:dyDescent="0.7"/>
    <row r="49" s="15" customFormat="1" x14ac:dyDescent="0.7"/>
    <row r="50" s="15" customFormat="1" x14ac:dyDescent="0.7"/>
    <row r="51" s="15" customFormat="1" x14ac:dyDescent="0.7"/>
    <row r="52" s="15" customFormat="1" x14ac:dyDescent="0.7"/>
    <row r="53" s="15" customFormat="1" x14ac:dyDescent="0.7"/>
    <row r="54" s="15" customFormat="1" x14ac:dyDescent="0.7"/>
    <row r="55" s="15" customFormat="1" x14ac:dyDescent="0.7"/>
    <row r="56" s="15" customFormat="1" x14ac:dyDescent="0.7"/>
    <row r="57" s="15" customFormat="1" x14ac:dyDescent="0.7"/>
    <row r="58" s="15" customFormat="1" x14ac:dyDescent="0.7"/>
    <row r="59" s="15" customFormat="1" x14ac:dyDescent="0.7"/>
    <row r="60" s="15" customFormat="1" x14ac:dyDescent="0.7"/>
    <row r="61" s="15" customFormat="1" x14ac:dyDescent="0.7"/>
    <row r="62" s="15" customFormat="1" x14ac:dyDescent="0.7"/>
    <row r="63" s="15" customFormat="1" x14ac:dyDescent="0.7"/>
    <row r="64" s="15" customFormat="1" x14ac:dyDescent="0.7"/>
    <row r="65" s="15" customFormat="1" x14ac:dyDescent="0.7"/>
    <row r="66" s="15" customFormat="1" x14ac:dyDescent="0.7"/>
    <row r="67" s="15" customFormat="1" x14ac:dyDescent="0.7"/>
    <row r="68" s="15" customFormat="1" x14ac:dyDescent="0.7"/>
    <row r="69" s="15" customFormat="1" x14ac:dyDescent="0.7"/>
    <row r="70" s="15" customFormat="1" x14ac:dyDescent="0.7"/>
    <row r="71" s="15" customFormat="1" x14ac:dyDescent="0.7"/>
    <row r="72" s="15" customFormat="1" x14ac:dyDescent="0.7"/>
    <row r="73" s="15" customFormat="1" x14ac:dyDescent="0.7"/>
    <row r="74" s="15" customFormat="1" x14ac:dyDescent="0.7"/>
    <row r="75" s="15" customFormat="1" x14ac:dyDescent="0.7"/>
    <row r="76" s="15" customFormat="1" x14ac:dyDescent="0.7"/>
    <row r="77" s="15" customFormat="1" x14ac:dyDescent="0.7"/>
    <row r="78" s="15" customFormat="1" x14ac:dyDescent="0.7"/>
    <row r="79" s="15" customFormat="1" x14ac:dyDescent="0.7"/>
    <row r="80" s="15" customFormat="1" x14ac:dyDescent="0.7"/>
    <row r="81" s="15" customFormat="1" x14ac:dyDescent="0.7"/>
    <row r="82" s="15" customFormat="1" x14ac:dyDescent="0.7"/>
    <row r="83" s="15" customFormat="1" x14ac:dyDescent="0.7"/>
    <row r="84" s="15" customFormat="1" x14ac:dyDescent="0.7"/>
    <row r="85" s="15" customFormat="1" x14ac:dyDescent="0.7"/>
    <row r="86" s="15" customFormat="1" x14ac:dyDescent="0.7"/>
    <row r="87" s="15" customFormat="1" x14ac:dyDescent="0.7"/>
    <row r="88" s="15" customFormat="1" x14ac:dyDescent="0.7"/>
    <row r="89" s="15" customFormat="1" x14ac:dyDescent="0.7"/>
    <row r="90" s="15" customFormat="1" x14ac:dyDescent="0.7"/>
    <row r="91" s="15" customFormat="1" x14ac:dyDescent="0.7"/>
    <row r="92" s="15" customFormat="1" x14ac:dyDescent="0.7"/>
    <row r="93" s="15" customFormat="1" x14ac:dyDescent="0.7"/>
    <row r="94" s="15" customFormat="1" x14ac:dyDescent="0.7"/>
    <row r="95" s="15" customFormat="1" x14ac:dyDescent="0.7"/>
    <row r="96" s="15" customFormat="1" x14ac:dyDescent="0.7"/>
    <row r="97" s="15" customFormat="1" x14ac:dyDescent="0.7"/>
    <row r="98" s="15" customFormat="1" x14ac:dyDescent="0.7"/>
    <row r="99" s="15" customFormat="1" x14ac:dyDescent="0.7"/>
    <row r="100" s="15" customFormat="1" x14ac:dyDescent="0.7"/>
    <row r="101" s="15" customFormat="1" x14ac:dyDescent="0.7"/>
    <row r="102" s="15" customFormat="1" x14ac:dyDescent="0.7"/>
    <row r="103" s="15" customFormat="1" x14ac:dyDescent="0.7"/>
    <row r="104" s="15" customFormat="1" x14ac:dyDescent="0.7"/>
    <row r="105" s="15" customFormat="1" x14ac:dyDescent="0.7"/>
    <row r="106" s="15" customFormat="1" x14ac:dyDescent="0.7"/>
    <row r="107" s="15" customFormat="1" x14ac:dyDescent="0.7"/>
    <row r="108" s="15" customFormat="1" x14ac:dyDescent="0.7"/>
    <row r="109" s="15" customFormat="1" x14ac:dyDescent="0.7"/>
    <row r="110" s="15" customFormat="1" x14ac:dyDescent="0.7"/>
    <row r="111" s="15" customFormat="1" x14ac:dyDescent="0.7"/>
    <row r="112" s="15" customFormat="1" x14ac:dyDescent="0.7"/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3B3E-DA8F-4E48-9CE4-CD4726B60073}">
  <dimension ref="A1:K122"/>
  <sheetViews>
    <sheetView workbookViewId="0">
      <selection activeCell="B12" sqref="B12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17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13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2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E9FB-EBC8-4443-8337-994103E9FF35}">
  <dimension ref="A1:K122"/>
  <sheetViews>
    <sheetView topLeftCell="A10" workbookViewId="0">
      <selection activeCell="B9" sqref="B9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17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2">
        <v>1</v>
      </c>
    </row>
    <row r="12" spans="1:11" x14ac:dyDescent="0.7">
      <c r="A12" s="5" t="s">
        <v>31</v>
      </c>
      <c r="B12" s="2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0280-4D7E-4C29-84C1-944D275D7272}">
  <dimension ref="A1:K122"/>
  <sheetViews>
    <sheetView topLeftCell="A7" workbookViewId="0">
      <selection activeCell="B14" sqref="B14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17">
        <v>1</v>
      </c>
    </row>
    <row r="11" spans="1:11" x14ac:dyDescent="0.7">
      <c r="A11" s="5" t="s">
        <v>30</v>
      </c>
      <c r="B11" s="17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17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AF61-B026-4212-8BDE-B8104D5BC137}">
  <dimension ref="A1:K122"/>
  <sheetViews>
    <sheetView topLeftCell="A4" workbookViewId="0">
      <selection activeCell="E12" sqref="E12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17">
        <v>1</v>
      </c>
    </row>
    <row r="11" spans="1:11" x14ac:dyDescent="0.7">
      <c r="A11" s="5" t="s">
        <v>30</v>
      </c>
      <c r="B11" s="17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17">
        <v>1</v>
      </c>
    </row>
    <row r="14" spans="1:11" x14ac:dyDescent="0.7">
      <c r="A14" s="5" t="s">
        <v>33</v>
      </c>
      <c r="B14" s="17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BA1B-6BA8-4023-ADD2-C78193B80153}">
  <dimension ref="A1:K122"/>
  <sheetViews>
    <sheetView topLeftCell="A10" workbookViewId="0">
      <selection activeCell="B12" sqref="B12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17">
        <f>(1+1+1+1)/4</f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17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2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259C-A291-4F3A-AA70-8BC6CF1070EA}">
  <dimension ref="A1:K122"/>
  <sheetViews>
    <sheetView topLeftCell="A7" workbookViewId="0">
      <selection activeCell="B17" sqref="B17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2"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2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2">
        <v>1</v>
      </c>
    </row>
    <row r="12" spans="1:11" x14ac:dyDescent="0.7">
      <c r="A12" s="5" t="s">
        <v>31</v>
      </c>
      <c r="B12" s="2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BF72-3C8B-4C2E-8592-E0762A1C11A1}">
  <dimension ref="A1:K122"/>
  <sheetViews>
    <sheetView topLeftCell="A13" workbookViewId="0">
      <selection activeCell="B12" sqref="B12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2"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2</v>
      </c>
    </row>
    <row r="9" spans="1:11" x14ac:dyDescent="0.7">
      <c r="A9" s="5" t="s">
        <v>28</v>
      </c>
      <c r="B9" s="2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2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2">
        <v>1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26FC-A07D-4A38-A0B7-F46DBAC5E8C7}">
  <dimension ref="A1:K122"/>
  <sheetViews>
    <sheetView workbookViewId="0">
      <selection activeCell="B12" sqref="B12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2"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2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17">
        <v>1</v>
      </c>
    </row>
    <row r="12" spans="1:11" x14ac:dyDescent="0.7">
      <c r="A12" s="5" t="s">
        <v>31</v>
      </c>
      <c r="B12" s="17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2</v>
      </c>
    </row>
    <row r="17" spans="1:2" x14ac:dyDescent="0.7">
      <c r="A17" s="5" t="s">
        <v>36</v>
      </c>
      <c r="B17" s="2">
        <v>6</v>
      </c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09C-FB35-4CCD-8BCB-F24FBBF214AF}">
  <dimension ref="A1:K122"/>
  <sheetViews>
    <sheetView workbookViewId="0">
      <selection activeCell="B11" sqref="B11"/>
    </sheetView>
  </sheetViews>
  <sheetFormatPr defaultColWidth="15.69921875" defaultRowHeight="24.6" x14ac:dyDescent="0.7"/>
  <cols>
    <col min="1" max="1" width="14.296875" style="2" customWidth="1"/>
    <col min="2" max="2" width="25.5" style="15" customWidth="1"/>
    <col min="3" max="11" width="9.69921875" style="15" customWidth="1"/>
    <col min="12" max="12" width="9.09765625" style="15" customWidth="1"/>
    <col min="13" max="16384" width="15.69921875" style="15"/>
  </cols>
  <sheetData>
    <row r="1" spans="1:11" x14ac:dyDescent="0.7">
      <c r="A1" s="13" t="s">
        <v>41</v>
      </c>
      <c r="B1" s="1" t="s">
        <v>42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7">
      <c r="A2" s="14" t="s">
        <v>21</v>
      </c>
      <c r="B2" s="17"/>
    </row>
    <row r="3" spans="1:11" x14ac:dyDescent="0.7">
      <c r="A3" s="5" t="s">
        <v>22</v>
      </c>
      <c r="B3" s="2">
        <v>1</v>
      </c>
    </row>
    <row r="4" spans="1:11" x14ac:dyDescent="0.7">
      <c r="A4" s="5" t="s">
        <v>23</v>
      </c>
      <c r="B4" s="2">
        <v>1</v>
      </c>
    </row>
    <row r="5" spans="1:11" x14ac:dyDescent="0.7">
      <c r="A5" s="5" t="s">
        <v>24</v>
      </c>
      <c r="B5" s="2">
        <v>1</v>
      </c>
    </row>
    <row r="6" spans="1:11" x14ac:dyDescent="0.7">
      <c r="A6" s="5" t="s">
        <v>25</v>
      </c>
      <c r="B6" s="2">
        <v>2</v>
      </c>
    </row>
    <row r="7" spans="1:11" x14ac:dyDescent="0.7">
      <c r="A7" s="5" t="s">
        <v>26</v>
      </c>
      <c r="B7" s="2">
        <v>2</v>
      </c>
    </row>
    <row r="8" spans="1:11" x14ac:dyDescent="0.7">
      <c r="A8" s="5" t="s">
        <v>27</v>
      </c>
      <c r="B8" s="2">
        <v>1</v>
      </c>
    </row>
    <row r="9" spans="1:11" x14ac:dyDescent="0.7">
      <c r="A9" s="5" t="s">
        <v>28</v>
      </c>
      <c r="B9" s="2">
        <v>1</v>
      </c>
    </row>
    <row r="10" spans="1:11" x14ac:dyDescent="0.7">
      <c r="A10" s="5" t="s">
        <v>29</v>
      </c>
      <c r="B10" s="2">
        <v>1</v>
      </c>
    </row>
    <row r="11" spans="1:11" x14ac:dyDescent="0.7">
      <c r="A11" s="5" t="s">
        <v>30</v>
      </c>
      <c r="B11" s="17">
        <v>1</v>
      </c>
    </row>
    <row r="12" spans="1:11" x14ac:dyDescent="0.7">
      <c r="A12" s="5" t="s">
        <v>31</v>
      </c>
      <c r="B12" s="2">
        <v>1</v>
      </c>
    </row>
    <row r="13" spans="1:11" x14ac:dyDescent="0.7">
      <c r="A13" s="5" t="s">
        <v>32</v>
      </c>
      <c r="B13" s="2">
        <v>1</v>
      </c>
    </row>
    <row r="14" spans="1:11" x14ac:dyDescent="0.7">
      <c r="A14" s="5" t="s">
        <v>33</v>
      </c>
      <c r="B14" s="2">
        <v>1</v>
      </c>
    </row>
    <row r="15" spans="1:11" x14ac:dyDescent="0.7">
      <c r="A15" s="5" t="s">
        <v>34</v>
      </c>
      <c r="B15" s="2">
        <v>1</v>
      </c>
    </row>
    <row r="16" spans="1:11" x14ac:dyDescent="0.7">
      <c r="A16" s="5" t="s">
        <v>35</v>
      </c>
      <c r="B16" s="2">
        <v>1</v>
      </c>
    </row>
    <row r="17" spans="1:2" x14ac:dyDescent="0.7">
      <c r="A17" s="5" t="s">
        <v>36</v>
      </c>
      <c r="B17" s="17"/>
    </row>
    <row r="18" spans="1:2" x14ac:dyDescent="0.7">
      <c r="A18" s="15"/>
    </row>
    <row r="19" spans="1:2" x14ac:dyDescent="0.7">
      <c r="A19" s="15"/>
    </row>
    <row r="20" spans="1:2" x14ac:dyDescent="0.7">
      <c r="A20" s="15"/>
    </row>
    <row r="21" spans="1:2" x14ac:dyDescent="0.7">
      <c r="A21" s="15"/>
    </row>
    <row r="22" spans="1:2" x14ac:dyDescent="0.7">
      <c r="A22" s="15"/>
    </row>
    <row r="23" spans="1:2" x14ac:dyDescent="0.7">
      <c r="A23" s="15"/>
    </row>
    <row r="24" spans="1:2" x14ac:dyDescent="0.7">
      <c r="A24" s="15"/>
    </row>
    <row r="25" spans="1:2" x14ac:dyDescent="0.7">
      <c r="A25" s="15"/>
    </row>
    <row r="26" spans="1:2" x14ac:dyDescent="0.7">
      <c r="A26" s="15"/>
    </row>
    <row r="27" spans="1:2" x14ac:dyDescent="0.7">
      <c r="A27" s="15"/>
    </row>
    <row r="28" spans="1:2" x14ac:dyDescent="0.7">
      <c r="A28" s="15"/>
    </row>
    <row r="29" spans="1:2" x14ac:dyDescent="0.7">
      <c r="A29" s="15"/>
    </row>
    <row r="30" spans="1:2" x14ac:dyDescent="0.7">
      <c r="A30" s="15"/>
    </row>
    <row r="31" spans="1:2" x14ac:dyDescent="0.7">
      <c r="A31" s="15"/>
    </row>
    <row r="32" spans="1:2" x14ac:dyDescent="0.7">
      <c r="A32" s="15"/>
    </row>
    <row r="33" spans="1:1" x14ac:dyDescent="0.7">
      <c r="A33" s="15"/>
    </row>
    <row r="34" spans="1:1" x14ac:dyDescent="0.7">
      <c r="A34" s="15"/>
    </row>
    <row r="35" spans="1:1" x14ac:dyDescent="0.7">
      <c r="A35" s="15"/>
    </row>
    <row r="36" spans="1:1" x14ac:dyDescent="0.7">
      <c r="A36" s="15"/>
    </row>
    <row r="37" spans="1:1" x14ac:dyDescent="0.7">
      <c r="A37" s="15"/>
    </row>
    <row r="38" spans="1:1" x14ac:dyDescent="0.7">
      <c r="A38" s="15"/>
    </row>
    <row r="39" spans="1:1" x14ac:dyDescent="0.7">
      <c r="A39" s="15"/>
    </row>
    <row r="40" spans="1:1" x14ac:dyDescent="0.7">
      <c r="A40" s="15"/>
    </row>
    <row r="41" spans="1:1" x14ac:dyDescent="0.7">
      <c r="A41" s="15"/>
    </row>
    <row r="42" spans="1:1" x14ac:dyDescent="0.7">
      <c r="A42" s="15"/>
    </row>
    <row r="43" spans="1:1" x14ac:dyDescent="0.7">
      <c r="A43" s="15"/>
    </row>
    <row r="44" spans="1:1" x14ac:dyDescent="0.7">
      <c r="A44" s="15"/>
    </row>
    <row r="45" spans="1:1" x14ac:dyDescent="0.7">
      <c r="A45" s="15"/>
    </row>
    <row r="46" spans="1:1" x14ac:dyDescent="0.7">
      <c r="A46" s="15"/>
    </row>
    <row r="47" spans="1:1" x14ac:dyDescent="0.7">
      <c r="A47" s="15"/>
    </row>
    <row r="48" spans="1:1" x14ac:dyDescent="0.7">
      <c r="A48" s="15"/>
    </row>
    <row r="49" spans="1:1" x14ac:dyDescent="0.7">
      <c r="A49" s="15"/>
    </row>
    <row r="50" spans="1:1" x14ac:dyDescent="0.7">
      <c r="A50" s="15"/>
    </row>
    <row r="51" spans="1:1" x14ac:dyDescent="0.7">
      <c r="A51" s="15"/>
    </row>
    <row r="52" spans="1:1" x14ac:dyDescent="0.7">
      <c r="A52" s="15"/>
    </row>
    <row r="53" spans="1:1" x14ac:dyDescent="0.7">
      <c r="A53" s="15"/>
    </row>
    <row r="54" spans="1:1" x14ac:dyDescent="0.7">
      <c r="A54" s="15"/>
    </row>
    <row r="55" spans="1:1" x14ac:dyDescent="0.7">
      <c r="A55" s="15"/>
    </row>
    <row r="56" spans="1:1" x14ac:dyDescent="0.7">
      <c r="A56" s="15"/>
    </row>
    <row r="57" spans="1:1" x14ac:dyDescent="0.7">
      <c r="A57" s="15"/>
    </row>
    <row r="58" spans="1:1" x14ac:dyDescent="0.7">
      <c r="A58" s="15"/>
    </row>
    <row r="59" spans="1:1" x14ac:dyDescent="0.7">
      <c r="A59" s="15"/>
    </row>
    <row r="60" spans="1:1" x14ac:dyDescent="0.7">
      <c r="A60" s="15"/>
    </row>
    <row r="61" spans="1:1" x14ac:dyDescent="0.7">
      <c r="A61" s="15"/>
    </row>
    <row r="62" spans="1:1" x14ac:dyDescent="0.7">
      <c r="A62" s="15"/>
    </row>
    <row r="63" spans="1:1" x14ac:dyDescent="0.7">
      <c r="A63" s="15"/>
    </row>
    <row r="64" spans="1:1" x14ac:dyDescent="0.7">
      <c r="A64" s="15"/>
    </row>
    <row r="65" spans="1:1" x14ac:dyDescent="0.7">
      <c r="A65" s="15"/>
    </row>
    <row r="66" spans="1:1" x14ac:dyDescent="0.7">
      <c r="A66" s="15"/>
    </row>
    <row r="67" spans="1:1" x14ac:dyDescent="0.7">
      <c r="A67" s="15"/>
    </row>
    <row r="68" spans="1:1" x14ac:dyDescent="0.7">
      <c r="A68" s="15"/>
    </row>
    <row r="69" spans="1:1" x14ac:dyDescent="0.7">
      <c r="A69" s="15"/>
    </row>
    <row r="70" spans="1:1" x14ac:dyDescent="0.7">
      <c r="A70" s="15"/>
    </row>
    <row r="71" spans="1:1" x14ac:dyDescent="0.7">
      <c r="A71" s="15"/>
    </row>
    <row r="72" spans="1:1" x14ac:dyDescent="0.7">
      <c r="A72" s="15"/>
    </row>
    <row r="73" spans="1:1" x14ac:dyDescent="0.7">
      <c r="A73" s="15"/>
    </row>
    <row r="74" spans="1:1" x14ac:dyDescent="0.7">
      <c r="A74" s="15"/>
    </row>
    <row r="75" spans="1:1" x14ac:dyDescent="0.7">
      <c r="A75" s="15"/>
    </row>
    <row r="76" spans="1:1" x14ac:dyDescent="0.7">
      <c r="A76" s="15"/>
    </row>
    <row r="77" spans="1:1" x14ac:dyDescent="0.7">
      <c r="A77" s="15"/>
    </row>
    <row r="78" spans="1:1" x14ac:dyDescent="0.7">
      <c r="A78" s="15"/>
    </row>
    <row r="79" spans="1:1" x14ac:dyDescent="0.7">
      <c r="A79" s="15"/>
    </row>
    <row r="80" spans="1:1" x14ac:dyDescent="0.7">
      <c r="A80" s="15"/>
    </row>
    <row r="81" spans="1:1" x14ac:dyDescent="0.7">
      <c r="A81" s="15"/>
    </row>
    <row r="82" spans="1:1" x14ac:dyDescent="0.7">
      <c r="A82" s="15"/>
    </row>
    <row r="83" spans="1:1" x14ac:dyDescent="0.7">
      <c r="A83" s="15"/>
    </row>
    <row r="84" spans="1:1" x14ac:dyDescent="0.7">
      <c r="A84" s="15"/>
    </row>
    <row r="85" spans="1:1" x14ac:dyDescent="0.7">
      <c r="A85" s="15"/>
    </row>
    <row r="86" spans="1:1" x14ac:dyDescent="0.7">
      <c r="A86" s="15"/>
    </row>
    <row r="87" spans="1:1" x14ac:dyDescent="0.7">
      <c r="A87" s="15"/>
    </row>
    <row r="88" spans="1:1" x14ac:dyDescent="0.7">
      <c r="A88" s="15"/>
    </row>
    <row r="89" spans="1:1" x14ac:dyDescent="0.7">
      <c r="A89" s="15"/>
    </row>
    <row r="90" spans="1:1" x14ac:dyDescent="0.7">
      <c r="A90" s="15"/>
    </row>
    <row r="91" spans="1:1" x14ac:dyDescent="0.7">
      <c r="A91" s="15"/>
    </row>
    <row r="92" spans="1:1" x14ac:dyDescent="0.7">
      <c r="A92" s="15"/>
    </row>
    <row r="93" spans="1:1" x14ac:dyDescent="0.7">
      <c r="A93" s="15"/>
    </row>
    <row r="94" spans="1:1" x14ac:dyDescent="0.7">
      <c r="A94" s="15"/>
    </row>
    <row r="95" spans="1:1" x14ac:dyDescent="0.7">
      <c r="A95" s="15"/>
    </row>
    <row r="96" spans="1:1" x14ac:dyDescent="0.7">
      <c r="A96" s="15"/>
    </row>
    <row r="97" spans="1:1" x14ac:dyDescent="0.7">
      <c r="A97" s="15"/>
    </row>
    <row r="98" spans="1:1" x14ac:dyDescent="0.7">
      <c r="A98" s="15"/>
    </row>
    <row r="99" spans="1:1" x14ac:dyDescent="0.7">
      <c r="A99" s="15"/>
    </row>
    <row r="100" spans="1:1" x14ac:dyDescent="0.7">
      <c r="A100" s="15"/>
    </row>
    <row r="101" spans="1:1" x14ac:dyDescent="0.7">
      <c r="A101" s="15"/>
    </row>
    <row r="102" spans="1:1" x14ac:dyDescent="0.7">
      <c r="A102" s="15"/>
    </row>
    <row r="103" spans="1:1" x14ac:dyDescent="0.7">
      <c r="A103" s="15"/>
    </row>
    <row r="104" spans="1:1" x14ac:dyDescent="0.7">
      <c r="A104" s="15"/>
    </row>
    <row r="105" spans="1:1" x14ac:dyDescent="0.7">
      <c r="A105" s="15"/>
    </row>
    <row r="106" spans="1:1" x14ac:dyDescent="0.7">
      <c r="A106" s="15"/>
    </row>
    <row r="107" spans="1:1" x14ac:dyDescent="0.7">
      <c r="A107" s="15"/>
    </row>
    <row r="108" spans="1:1" x14ac:dyDescent="0.7">
      <c r="A108" s="15"/>
    </row>
    <row r="109" spans="1:1" x14ac:dyDescent="0.7">
      <c r="A109" s="15"/>
    </row>
    <row r="110" spans="1:1" x14ac:dyDescent="0.7">
      <c r="A110" s="15"/>
    </row>
    <row r="111" spans="1:1" x14ac:dyDescent="0.7">
      <c r="A111" s="15"/>
    </row>
    <row r="112" spans="1:1" x14ac:dyDescent="0.7">
      <c r="A112" s="15"/>
    </row>
    <row r="113" spans="1:1" x14ac:dyDescent="0.7">
      <c r="A113" s="15"/>
    </row>
    <row r="114" spans="1:1" x14ac:dyDescent="0.7">
      <c r="A114" s="15"/>
    </row>
    <row r="115" spans="1:1" x14ac:dyDescent="0.7">
      <c r="A115" s="15"/>
    </row>
    <row r="116" spans="1:1" x14ac:dyDescent="0.7">
      <c r="A116" s="15"/>
    </row>
    <row r="117" spans="1:1" x14ac:dyDescent="0.7">
      <c r="A117" s="15"/>
    </row>
    <row r="118" spans="1:1" x14ac:dyDescent="0.7">
      <c r="A118" s="15"/>
    </row>
    <row r="119" spans="1:1" x14ac:dyDescent="0.7">
      <c r="A119" s="15"/>
    </row>
    <row r="120" spans="1:1" x14ac:dyDescent="0.7">
      <c r="A120" s="15"/>
    </row>
    <row r="121" spans="1:1" x14ac:dyDescent="0.7">
      <c r="A121" s="15"/>
    </row>
    <row r="122" spans="1:1" x14ac:dyDescent="0.7">
      <c r="A1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ขบวนรถไฟทุกสาย</vt:lpstr>
      <vt:lpstr>ข้อมูลราคา</vt:lpstr>
      <vt:lpstr>ข้อมูลด้าน lambda</vt:lpstr>
      <vt:lpstr>เวลาในการจอด 303</vt:lpstr>
      <vt:lpstr>เวลาในการจอด 339</vt:lpstr>
      <vt:lpstr>เวลาในการจอด 201</vt:lpstr>
      <vt:lpstr>เวลาในการจอด 209</vt:lpstr>
      <vt:lpstr>เวลาในการจอด 233</vt:lpstr>
      <vt:lpstr>เวลาในการจอด 211</vt:lpstr>
      <vt:lpstr>เวลาในการจอด 207</vt:lpstr>
      <vt:lpstr>เวลาในการจอด 301</vt:lpstr>
      <vt:lpstr>เวลาในการจอด 341</vt:lpstr>
      <vt:lpstr>เวลาในการจอด 317</vt:lpstr>
      <vt:lpstr>เวลาในการจอด 313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tongta jindawong</dc:creator>
  <cp:lastModifiedBy>Athidtayapor Jindawong</cp:lastModifiedBy>
  <dcterms:created xsi:type="dcterms:W3CDTF">2025-08-19T04:49:00Z</dcterms:created>
  <dcterms:modified xsi:type="dcterms:W3CDTF">2026-04-20T14:02:46Z</dcterms:modified>
</cp:coreProperties>
</file>